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inf\Workspace\templates\"/>
    </mc:Choice>
  </mc:AlternateContent>
  <xr:revisionPtr revIDLastSave="0" documentId="13_ncr:1_{673168C0-CAFE-470A-B430-E80BDD354AEC}" xr6:coauthVersionLast="47" xr6:coauthVersionMax="47" xr10:uidLastSave="{00000000-0000-0000-0000-000000000000}"/>
  <bookViews>
    <workbookView xWindow="-103" yWindow="-103" windowWidth="33120" windowHeight="18000" tabRatio="795" xr2:uid="{00000000-000D-0000-FFFF-FFFF00000000}"/>
  </bookViews>
  <sheets>
    <sheet name="표지" sheetId="1" r:id="rId1"/>
    <sheet name="목차" sheetId="2" r:id="rId2"/>
    <sheet name="근무표_안전관리자" sheetId="3" r:id="rId3"/>
    <sheet name="근무표_점검팀" sheetId="4" r:id="rId4"/>
    <sheet name="일상점검_안전관리자" sheetId="5" r:id="rId5"/>
    <sheet name="정기점검1_안전관리자" sheetId="6" r:id="rId6"/>
    <sheet name="정기점검2_안전관리자" sheetId="7" r:id="rId7"/>
    <sheet name="정기점검1_점검팀" sheetId="8" r:id="rId8"/>
    <sheet name="정기점검2_점검팀" sheetId="9" r:id="rId9"/>
    <sheet name="정기점검1_점검팀_분기" sheetId="10" r:id="rId10"/>
    <sheet name="정기점검2_점검팀_분기" sheetId="11" r:id="rId11"/>
  </sheets>
  <definedNames>
    <definedName name="_xlnm.Print_Area" localSheetId="2">근무표_안전관리자!$A$1:$G$37</definedName>
    <definedName name="_xlnm.Print_Area" localSheetId="3">근무표_점검팀!$A$1:$G$37</definedName>
    <definedName name="_xlnm.Print_Area" localSheetId="1">목차!$A$1:$C$14</definedName>
    <definedName name="_xlnm.Print_Area" localSheetId="4">일상점검_안전관리자!$A$1:$E$36</definedName>
    <definedName name="_xlnm.Print_Area" localSheetId="5">정기점검1_안전관리자!$A$1:$AU$35</definedName>
    <definedName name="_xlnm.Print_Area" localSheetId="7">정기점검1_점검팀!$A$1:$H$46</definedName>
    <definedName name="_xlnm.Print_Area" localSheetId="9">정기점검1_점검팀_분기!$A$1:$H$45</definedName>
    <definedName name="_xlnm.Print_Area" localSheetId="6">정기점검2_안전관리자!$A$1:$AU$46</definedName>
    <definedName name="_xlnm.Print_Area" localSheetId="8">정기점검2_점검팀!$A$1:$O$45</definedName>
    <definedName name="_xlnm.Print_Area" localSheetId="10">정기점검2_점검팀_분기!$A$1:$O$45</definedName>
    <definedName name="_xlnm.Print_Area" localSheetId="0">표지!$A$1:$J$23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1" l="1" a="1"/>
  <c r="E7" i="11" s="1"/>
  <c r="G7" i="10" a="1"/>
  <c r="G7" i="10" s="1"/>
  <c r="F7" i="10" a="1"/>
  <c r="F7" i="10" s="1"/>
  <c r="E7" i="10" a="1"/>
  <c r="E7" i="10" s="1"/>
  <c r="E7" i="9" a="1"/>
  <c r="E7" i="9" s="1"/>
  <c r="F7" i="8" a="1"/>
  <c r="F7" i="8" s="1"/>
  <c r="E7" i="8" a="1"/>
  <c r="E7" i="8" s="1"/>
  <c r="G7" i="8" a="1"/>
  <c r="G7" i="8" s="1"/>
  <c r="D37" i="4"/>
  <c r="C37" i="4"/>
  <c r="K20" i="4"/>
  <c r="F37" i="3"/>
  <c r="E37" i="3"/>
  <c r="D37" i="3"/>
  <c r="C3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<sst xmlns="http://schemas.openxmlformats.org/spreadsheetml/2006/main" count="1543" uniqueCount="325">
  <si>
    <t>청송지사 흥해터널 등 4개소 전기안전관리용역 (2차)</t>
  </si>
  <si>
    <t>0월 점검계획서</t>
  </si>
  <si>
    <t>수자원기술(주)</t>
  </si>
  <si>
    <t>목    차</t>
  </si>
  <si>
    <t>1. 근무표</t>
  </si>
  <si>
    <t>2. 일상점검 계획</t>
  </si>
  <si>
    <t>3. 정기점검 계획</t>
  </si>
  <si>
    <t>□ 터널 전기안전관리자 근무표 (0월)</t>
  </si>
  <si>
    <t>일자</t>
  </si>
  <si>
    <t>요일</t>
  </si>
  <si>
    <t>흥해</t>
  </si>
  <si>
    <t>청하(주)</t>
  </si>
  <si>
    <t>청하(부)</t>
  </si>
  <si>
    <t>남정5</t>
  </si>
  <si>
    <t>비고</t>
  </si>
  <si>
    <t>근무일수</t>
  </si>
  <si>
    <t>□ 터널 전기시설점검자 근무표 (0월)</t>
  </si>
  <si>
    <t>전기</t>
  </si>
  <si>
    <t>소방</t>
  </si>
  <si>
    <t>장터널</t>
  </si>
  <si>
    <t>단터널</t>
  </si>
  <si>
    <t>터널</t>
  </si>
  <si>
    <t>일수</t>
  </si>
  <si>
    <t>청하</t>
  </si>
  <si>
    <t>남정</t>
  </si>
  <si>
    <t>차단막 1일 추가</t>
  </si>
  <si>
    <t>합계</t>
  </si>
  <si>
    <t>□ 전기안전관리자</t>
  </si>
  <si>
    <t>구   분</t>
  </si>
  <si>
    <t>점  검  내  용</t>
  </si>
  <si>
    <t>점검방법</t>
  </si>
  <si>
    <t>목시</t>
  </si>
  <si>
    <t>조작</t>
  </si>
  <si>
    <t>전기설비</t>
  </si>
  <si>
    <t>전력설비</t>
  </si>
  <si>
    <t>● LBS, LA, MOF, VCB, ACB 외관상태</t>
  </si>
  <si>
    <t>●</t>
  </si>
  <si>
    <t>● 수전반 각종 보호계전기 및 차단기 동작상태</t>
  </si>
  <si>
    <t>● 특고압반 및 저압반 지시계기 동작상태</t>
  </si>
  <si>
    <t>● 변압기 외관, 소음, 진동상태</t>
  </si>
  <si>
    <t>● MCC반 동작상태</t>
  </si>
  <si>
    <t>● 부하설비 적정 가동유무</t>
  </si>
  <si>
    <t>● 누전경보기 동작상태</t>
  </si>
  <si>
    <t>비상전원</t>
  </si>
  <si>
    <t>● 발전기 연료누유 및 외관상태</t>
  </si>
  <si>
    <t>● 발전기 오일 공급라인 누유상태</t>
  </si>
  <si>
    <t>● 비상발전기 축전지 충전상태 및 단자조임 상태</t>
  </si>
  <si>
    <t>● 비상발전기 히터 동작상태</t>
  </si>
  <si>
    <t>● UPS 기능별 지시계기 동작상태</t>
  </si>
  <si>
    <t>● UPS 정상동작 및 축전지 충전상태</t>
  </si>
  <si>
    <t>● UPS 전자접촉기 및 퓨즈 이상상태</t>
  </si>
  <si>
    <t>● UPS 밧데리 단자조임 및 산화상태</t>
  </si>
  <si>
    <t>조명설비</t>
  </si>
  <si>
    <t>● 조명제어기(터널,가로등) 단계별 점소등 상태</t>
  </si>
  <si>
    <t>● 터널등, 가로등의 적정 점등상태</t>
  </si>
  <si>
    <t>● 관리동 조명등 절전상태</t>
  </si>
  <si>
    <t>제어설비</t>
  </si>
  <si>
    <t>자동제어</t>
  </si>
  <si>
    <t>● 전력자동제어 시스템 동작상태</t>
  </si>
  <si>
    <t>● 중앙감시반 모니터(DLP, LCD) 이상 유무 표시상태</t>
  </si>
  <si>
    <t>● PLC 소프트웨어 동작상태</t>
  </si>
  <si>
    <t>● 각종 데이터 이력상태</t>
  </si>
  <si>
    <t>● 조명제어 및 기기 원격제어상태</t>
  </si>
  <si>
    <t>방재설비</t>
  </si>
  <si>
    <t>표시등</t>
  </si>
  <si>
    <t>● 각종 표시등 전원공급 상태(터널내 CCTV 활용)</t>
  </si>
  <si>
    <t>자동화재
탐지설비</t>
  </si>
  <si>
    <t>● 자동화재탐지설비 수신기의 감시상태</t>
  </si>
  <si>
    <t>● 중계기(감지기)의 통신 및 오동작 여부</t>
  </si>
  <si>
    <t>비상경보설비</t>
  </si>
  <si>
    <t>● 비상경보설비 수신기의 감시상태</t>
  </si>
  <si>
    <t>● 중계기(발신기)의 통신 및 오동작 여부</t>
  </si>
  <si>
    <t>터널진입
차단설비</t>
  </si>
  <si>
    <t>● 전원공급 상태</t>
  </si>
  <si>
    <t>● 통신 및 오동작 여부</t>
  </si>
  <si>
    <t>3. 정기점검계획</t>
  </si>
  <si>
    <t>□ 터널 전기안전관리자</t>
  </si>
  <si>
    <t>구 분</t>
  </si>
  <si>
    <t>설비명</t>
  </si>
  <si>
    <t>점검내용</t>
  </si>
  <si>
    <t>특고압설비</t>
  </si>
  <si>
    <t>인입
설비</t>
  </si>
  <si>
    <t>ㅇ 특고 인입선로 및 단말처리상태</t>
  </si>
  <si>
    <t>○</t>
  </si>
  <si>
    <t>ㅇ LA외관 균열 여부</t>
  </si>
  <si>
    <t>ㅇ LBS외관 및 PF 균열 여부</t>
  </si>
  <si>
    <t>VCB
판넬</t>
  </si>
  <si>
    <t>ㅇ MOF 절연유 누유 및 몰드 변형여부</t>
  </si>
  <si>
    <t>ㅇ 차단기 작동 상태(분기)</t>
  </si>
  <si>
    <t>4~6월중 점검</t>
  </si>
  <si>
    <t>ㅇ 보호계전기 및 지시계기 계측 상태</t>
  </si>
  <si>
    <t>ㅇ 진공탱크 균열 및 외관상태</t>
  </si>
  <si>
    <t>변압기</t>
  </si>
  <si>
    <t>ㅇ 케이블헤드 외관상태</t>
  </si>
  <si>
    <t>ㅇ 몰드 외관 균열여부</t>
  </si>
  <si>
    <t>ㅇ 유량계 및 온도계 상태</t>
  </si>
  <si>
    <t>기타</t>
  </si>
  <si>
    <t>ㅇ 절연저항 측정 (연차)</t>
  </si>
  <si>
    <t>10~12월중 점검</t>
  </si>
  <si>
    <t>ㅇ 접지저항 측정 (연차)</t>
  </si>
  <si>
    <t>ㅇ 절연내역 측정 (연차)</t>
  </si>
  <si>
    <t>ㅇ 적외선 열화상 측정 (분기)</t>
  </si>
  <si>
    <t>ㅇ 전원품질분석 (연차)</t>
  </si>
  <si>
    <t>ㅇ특고압반 기기별 열화 및 모선지지물 상태</t>
  </si>
  <si>
    <t>ㅇ냉각팬 및 히터 동작상태 (분기)</t>
  </si>
  <si>
    <t>◎</t>
  </si>
  <si>
    <t>저압설비</t>
  </si>
  <si>
    <t>각   종
차단기</t>
  </si>
  <si>
    <t>ㅇ 접점부 단자 소손여부 (분기)</t>
  </si>
  <si>
    <t>ㅇ ACB, ATS, CTTS 동작 상태 (분기)</t>
  </si>
  <si>
    <t>ㅇ 정전시험 한전/발전 절체시험(실부하 운전)_(분기)</t>
  </si>
  <si>
    <t>ㅇ 전자접촉기(M,G) 이상여부 (분기)</t>
  </si>
  <si>
    <t>접속부</t>
  </si>
  <si>
    <t>ㅇ 각종 모선 및 케이블 접속 상태 (분기)</t>
  </si>
  <si>
    <t>ㅇ 각종 볼트 이완여부 (분기)</t>
  </si>
  <si>
    <t>케이블
상   태</t>
  </si>
  <si>
    <t>ㅇ 이상 소음 발생 여부</t>
  </si>
  <si>
    <t>ㅇ 열화에 의한 피복 소손여부</t>
  </si>
  <si>
    <t>ㅇ 트렌치내 케이블 상태 (분기)</t>
  </si>
  <si>
    <t>진상콘덴서</t>
  </si>
  <si>
    <t>ㅇ 절연유 누유 및 변형여부</t>
  </si>
  <si>
    <t>ㅇ 접지저항 측정 (분기)</t>
  </si>
  <si>
    <t>ㅇ 부하평형 여부 측정 (분기)</t>
  </si>
  <si>
    <t>비상전원설비</t>
  </si>
  <si>
    <t>UPS</t>
  </si>
  <si>
    <t>ㅇ 축전지 전해액 및 충전상태</t>
  </si>
  <si>
    <t>ㅇ 입,출력부 전압 전류 상태</t>
  </si>
  <si>
    <t>ㅇ 비상시 전원절체 동작여부</t>
  </si>
  <si>
    <t>ㅇ UPS 축전지 내부저항 및 전압측정(첨부양식 #2-1)_(분기)</t>
  </si>
  <si>
    <t>ㅇ 전자접촉기, 휴즈 이상여부</t>
  </si>
  <si>
    <t>ㅇ 축전지 단자 산화 및 접속상태</t>
  </si>
  <si>
    <t>ㅇ 부하평형 여부측정 (분기)</t>
  </si>
  <si>
    <t>발전기</t>
  </si>
  <si>
    <t>ㅇ 작동 무부하시험</t>
  </si>
  <si>
    <t>ㅇ 작동 부하시험(부하평형 여부 확인)_(분기)</t>
  </si>
  <si>
    <t>ㅇ 엔진오일 오염 및 유량상태</t>
  </si>
  <si>
    <t>ㅇ 각종 오일 누유 여부</t>
  </si>
  <si>
    <t>ㅇ 냉각수 및 유류보충 상태</t>
  </si>
  <si>
    <t>ㅇ 축전지 전해액 및 충전상태 (분기)</t>
  </si>
  <si>
    <t>ㅇ 배터리 내부저항 측정점검 (분기)</t>
  </si>
  <si>
    <t>ㅇ 전기결선상태 점검</t>
  </si>
  <si>
    <t>ㅇ 자동·수동스위치 및 전력회로 점검</t>
  </si>
  <si>
    <t>ㅇ 전력 배선 및 접속부 상태 (분기)</t>
  </si>
  <si>
    <t>ㅇ 엔진기기 조임상태</t>
  </si>
  <si>
    <t>ㅇ 벨트상태 및 장력 (분기)</t>
  </si>
  <si>
    <t>ㅇ 부대설비(급,배기시설) 상태 (분기)</t>
  </si>
  <si>
    <t>ㅇ 각종 공구 관리상태 및 자재비치 상태</t>
  </si>
  <si>
    <t>태양광발전설비</t>
  </si>
  <si>
    <t>ㅇ 패널 외관상태 및 발전량 확인</t>
  </si>
  <si>
    <t>ㅇ 구조물 외관상태 및 볼트 체결상태</t>
  </si>
  <si>
    <t>ㅇ 전선 및 접속부 이상 상태</t>
  </si>
  <si>
    <t>ㅇ 인버터 외관상태 및 정상 작동상태</t>
  </si>
  <si>
    <t>직무고시</t>
  </si>
  <si>
    <t>ㅇ 외관 점검 및 부하측정 (월차)</t>
  </si>
  <si>
    <t>저압
설비</t>
  </si>
  <si>
    <t>ㅇ 절연저항 측정(연차)</t>
  </si>
  <si>
    <t>ㅇ 누설전류 측정(분기, 필요시)</t>
  </si>
  <si>
    <t>ㅇ 접지저항 측정(반기)</t>
  </si>
  <si>
    <t>3~6월중 점검</t>
  </si>
  <si>
    <t>고압
설비</t>
  </si>
  <si>
    <t>ㅇ 접지저항 측정(연차)</t>
  </si>
  <si>
    <t>ㅇ 절연내력 측정(연차)</t>
  </si>
  <si>
    <t>변압기
점검</t>
  </si>
  <si>
    <t>ㅇ 절연저항 점검(연차)</t>
  </si>
  <si>
    <t>ㅇ 절연내역, 산가도 측정(연차, 필요시)</t>
  </si>
  <si>
    <t>ㅇ 계전기 및 차단기 동작시험(연차)</t>
  </si>
  <si>
    <t>예비
발전
설비</t>
  </si>
  <si>
    <t>ㅇ 절연 및 접지저항 측정(반기)</t>
  </si>
  <si>
    <t>ㅇ 축전지 및 충전장치 점검(반기)</t>
  </si>
  <si>
    <t>ㅇ 발전기 무부하 또는 부하시험(분기)</t>
  </si>
  <si>
    <t>ㅇ 적외선 열화상 측정(분기)</t>
  </si>
  <si>
    <t>ㅇ 전원품질분석(연차)</t>
  </si>
  <si>
    <t>□ 터널 전기시설점검자 (장터널)</t>
  </si>
  <si>
    <t>터     널</t>
  </si>
  <si>
    <t>점검일수</t>
  </si>
  <si>
    <t>점 검 일</t>
  </si>
  <si>
    <t>RTU</t>
  </si>
  <si>
    <t>ㅇ 전원공급장치 이상여부</t>
  </si>
  <si>
    <t>ㅇ 상부 및 하부기기간 통신상태</t>
  </si>
  <si>
    <t>ㅇ CPU외 각종 모듈 정상동작여부</t>
  </si>
  <si>
    <t>ㅇ SURGE  PROTECTOR 이상유무</t>
  </si>
  <si>
    <t>ㅇ 각종 T/D외관 및 동작상태</t>
  </si>
  <si>
    <t>ㅇ 전자계전반의 운영상태</t>
  </si>
  <si>
    <t>중앙감시반모니터
(DLP, LCD 등)</t>
  </si>
  <si>
    <t>ㅇ 전원 공급 장치 및 램프 동작 상태 점검</t>
  </si>
  <si>
    <t>ㅇ 신호 케이블 접속 상태 및 주변기기 동작 상태 점검</t>
  </si>
  <si>
    <t>분기</t>
  </si>
  <si>
    <t>ㅇ 컴퓨터 프로그램 동작상태 점검</t>
  </si>
  <si>
    <t>MMI</t>
  </si>
  <si>
    <t>ㅇ TREND 및 레포트 생성상태</t>
  </si>
  <si>
    <t>ㅇ 전력사용량 분석</t>
  </si>
  <si>
    <t>조명
제어</t>
  </si>
  <si>
    <t>ㅇ 조광센서 조도 검출 및 청결상태</t>
  </si>
  <si>
    <t>ㅇ 자동 및 수동 작동 상태</t>
  </si>
  <si>
    <t>ㅇ 회로별 조도 셋팅값 확인 및 보정</t>
  </si>
  <si>
    <t>ㅇ 조명 단계별 동작 확인</t>
  </si>
  <si>
    <t>ㅇ 거리유도표시등 점등상태 및 등기구 파손여부 확인</t>
  </si>
  <si>
    <t>월간목시/분기교통차단</t>
  </si>
  <si>
    <t>ㅇ 소화기표시등 점등상태 및 등기구 파손여부 확인</t>
  </si>
  <si>
    <t>ㅇ 시선유도등 점등상태 및 등기구 파손여부 확인</t>
  </si>
  <si>
    <t>비상전원설비
(단터널)</t>
  </si>
  <si>
    <t>ㅇ UPS 정상 동작 상태(육안)</t>
  </si>
  <si>
    <t>설계서와 과업상이. 분기/단터널</t>
  </si>
  <si>
    <t>ㅇ UPS 축전지 내부저항 및 전압측정</t>
  </si>
  <si>
    <t>분기/단터널</t>
  </si>
  <si>
    <t>ㅇ 전원(제어신호) 투입상태 및 외관확인</t>
  </si>
  <si>
    <t>ㅇ 동작시험 정상</t>
  </si>
  <si>
    <t>ㅇ 자탐설비(감지기등) 외관상태 및 파손유무</t>
  </si>
  <si>
    <t>월간목시/분기/장터널</t>
  </si>
  <si>
    <t>ㅇ 터널내 감지기 작동시험(공기관)</t>
  </si>
  <si>
    <t>분기/장터널</t>
  </si>
  <si>
    <t>ㅇ 터널내 감지기 작동시험(광케이블)</t>
  </si>
  <si>
    <t>ㅇ 자동화재탐지설비 전용 프로그램 점검 및 확인(광케이블)</t>
  </si>
  <si>
    <t>ㅇ 감지기 작동시 위치 표출 상태</t>
  </si>
  <si>
    <t>ㅇ 시스템 안정성 확인</t>
  </si>
  <si>
    <t>ㅇ 화재수신기 예비전원 충전상태, 회로시험 및 도통시험</t>
  </si>
  <si>
    <t>ㅇ 중계기,발신기,경종,표시등 등의 외관상태</t>
  </si>
  <si>
    <t>ㅇ 터널내 중계기(발신기동작 등) 작동시험</t>
  </si>
  <si>
    <t>분기교통차단</t>
  </si>
  <si>
    <t>ㅇ 중계기 작동에 의한 타 설비와의 연동상태</t>
  </si>
  <si>
    <t>비상콘센트</t>
  </si>
  <si>
    <t>ㅇ 전원투입상태 및 외관확인</t>
  </si>
  <si>
    <t>관리동
설비</t>
  </si>
  <si>
    <t>화재
수신기</t>
  </si>
  <si>
    <t>ㅇ 회로시험 및 도통시험</t>
  </si>
  <si>
    <t>ㅇ 발신기 동작시험</t>
  </si>
  <si>
    <t>ㅇ 예비전원 충전상태</t>
  </si>
  <si>
    <t>ㅇ 유도등 점등 및 연동상태</t>
  </si>
  <si>
    <t>ㅇ 실내 조명등 및 공동구 조명점검</t>
  </si>
  <si>
    <t>ㅇ (단터널) 옥외 수배전반 소화기 외관 상태</t>
  </si>
  <si>
    <t>설계서와 과업상이</t>
  </si>
  <si>
    <t>□ 터널 전기시설점검자 (단터널)</t>
  </si>
  <si>
    <t>남정1,2</t>
  </si>
  <si>
    <t>남정3</t>
  </si>
  <si>
    <t>남정4</t>
  </si>
  <si>
    <t>남정6</t>
  </si>
  <si>
    <t>남정7</t>
  </si>
  <si>
    <t>남정8</t>
  </si>
  <si>
    <t>남정9</t>
  </si>
  <si>
    <t>강구1</t>
  </si>
  <si>
    <t>강구2</t>
  </si>
  <si>
    <t>강구3</t>
  </si>
  <si>
    <t>-</t>
  </si>
  <si>
    <t>해당없음</t>
  </si>
  <si>
    <t>남정1,2/남정4/남정6/남정7/남정8/강구1/강구2/강구3</t>
  </si>
  <si>
    <t>설계서와 과업 상이</t>
  </si>
  <si>
    <t>터     널</t>
    <phoneticPr fontId="2" type="noConversion"/>
  </si>
  <si>
    <t>흥해</t>
    <phoneticPr fontId="2" type="noConversion"/>
  </si>
  <si>
    <t>청하</t>
    <phoneticPr fontId="2" type="noConversion"/>
  </si>
  <si>
    <t>남정5</t>
    <phoneticPr fontId="2" type="noConversion"/>
  </si>
  <si>
    <t>비고</t>
    <phoneticPr fontId="2" type="noConversion"/>
  </si>
  <si>
    <t>점검일수</t>
    <phoneticPr fontId="2" type="noConversion"/>
  </si>
  <si>
    <t>점 검 일</t>
    <phoneticPr fontId="2" type="noConversion"/>
  </si>
  <si>
    <t>자동제어</t>
    <phoneticPr fontId="2" type="noConversion"/>
  </si>
  <si>
    <t>●</t>
    <phoneticPr fontId="2" type="noConversion"/>
  </si>
  <si>
    <t>ㅇ CPU외 각종 모듈 정상동작여부</t>
    <phoneticPr fontId="2" type="noConversion"/>
  </si>
  <si>
    <t>ㅇ SURGE  PROTECTOR 이상유무</t>
    <phoneticPr fontId="2" type="noConversion"/>
  </si>
  <si>
    <t>ㅇ 각종 T/D외관 및 동작상태</t>
    <phoneticPr fontId="2" type="noConversion"/>
  </si>
  <si>
    <t>ㅇ 전자계전반의 운영상태</t>
    <phoneticPr fontId="2" type="noConversion"/>
  </si>
  <si>
    <t>중앙감시반모니터
(DLP, LCD 등)</t>
    <phoneticPr fontId="2" type="noConversion"/>
  </si>
  <si>
    <t>ㅇ 전원 공급 장치 및 램프 동작 상태 점검</t>
    <phoneticPr fontId="2" type="noConversion"/>
  </si>
  <si>
    <t>ㅇ 신호 케이블 접속 상태 및 주변기기 동작 상태 점검</t>
    <phoneticPr fontId="2" type="noConversion"/>
  </si>
  <si>
    <t>◎</t>
    <phoneticPr fontId="2" type="noConversion"/>
  </si>
  <si>
    <t>ㅇ 컴퓨터 프로그램 동작상태 점검</t>
    <phoneticPr fontId="2" type="noConversion"/>
  </si>
  <si>
    <t>MMI</t>
    <phoneticPr fontId="2" type="noConversion"/>
  </si>
  <si>
    <t>조명설비</t>
    <phoneticPr fontId="2" type="noConversion"/>
  </si>
  <si>
    <t>조명
제어</t>
    <phoneticPr fontId="2" type="noConversion"/>
  </si>
  <si>
    <t>ㅇ 조광센서 조도 검출 및 청결상태</t>
    <phoneticPr fontId="2" type="noConversion"/>
  </si>
  <si>
    <t>ㅇ 자동 및 수동 작동 상태</t>
    <phoneticPr fontId="2" type="noConversion"/>
  </si>
  <si>
    <t>ㅇ 회로별 조도 셋팅값 확인 및 보정</t>
    <phoneticPr fontId="2" type="noConversion"/>
  </si>
  <si>
    <t>ㅇ 조명 단계별 동작 확인</t>
    <phoneticPr fontId="2" type="noConversion"/>
  </si>
  <si>
    <t>표시등</t>
    <phoneticPr fontId="2" type="noConversion"/>
  </si>
  <si>
    <t>ㅇ 거리유도표시등 점등상태 및 등기구 파손여부 확인</t>
    <phoneticPr fontId="2" type="noConversion"/>
  </si>
  <si>
    <t>ㅇ 소화기표시등 점등상태 및 등기구 파손여부 확인</t>
    <phoneticPr fontId="2" type="noConversion"/>
  </si>
  <si>
    <t>ㅇ 시선유도등 점등상태 및 등기구 파손여부 확인</t>
    <phoneticPr fontId="2" type="noConversion"/>
  </si>
  <si>
    <t>비상전원설비
(단터널)</t>
    <phoneticPr fontId="2" type="noConversion"/>
  </si>
  <si>
    <t>ㅇ UPS 정상 동작 상태(육안)</t>
    <phoneticPr fontId="2" type="noConversion"/>
  </si>
  <si>
    <t>-</t>
    <phoneticPr fontId="2" type="noConversion"/>
  </si>
  <si>
    <t>해당사항 없음</t>
    <phoneticPr fontId="2" type="noConversion"/>
  </si>
  <si>
    <t>ㅇ UPS 축전지 내부저항 및 전압측정</t>
    <phoneticPr fontId="2" type="noConversion"/>
  </si>
  <si>
    <t>터널진입
차단설비</t>
    <phoneticPr fontId="2" type="noConversion"/>
  </si>
  <si>
    <t>ㅇ 전원(제어신호) 투입상태 및 외관확인</t>
    <phoneticPr fontId="2" type="noConversion"/>
  </si>
  <si>
    <t>ㅇ 동작시험 정상</t>
    <phoneticPr fontId="2" type="noConversion"/>
  </si>
  <si>
    <t>방재설비</t>
    <phoneticPr fontId="2" type="noConversion"/>
  </si>
  <si>
    <t>자동화재
탐지설비</t>
    <phoneticPr fontId="2" type="noConversion"/>
  </si>
  <si>
    <t>ㅇ 자탐설비(감지기등) 외관상태 및 파손유무</t>
    <phoneticPr fontId="2" type="noConversion"/>
  </si>
  <si>
    <t>ㅇ 터널내 감지기 작동시험(광케이블)</t>
    <phoneticPr fontId="2" type="noConversion"/>
  </si>
  <si>
    <t>ㅇ 자동화재탐지설비 전용 프로그램 점검 및 확인(광케이블)</t>
    <phoneticPr fontId="2" type="noConversion"/>
  </si>
  <si>
    <t>분기/장터널</t>
    <phoneticPr fontId="2" type="noConversion"/>
  </si>
  <si>
    <t>ㅇ 감지기 작동시 위치 표출 상태</t>
    <phoneticPr fontId="2" type="noConversion"/>
  </si>
  <si>
    <t>ㅇ 시스템 안정성 확인</t>
    <phoneticPr fontId="2" type="noConversion"/>
  </si>
  <si>
    <t>비상경보설비</t>
    <phoneticPr fontId="2" type="noConversion"/>
  </si>
  <si>
    <t>ㅇ 화재수신기 예비전원 충전상태, 회로시험 및 도통시험</t>
    <phoneticPr fontId="2" type="noConversion"/>
  </si>
  <si>
    <t>ㅇ 중계기,발신기,경종,표시등 등의 외관상태</t>
    <phoneticPr fontId="2" type="noConversion"/>
  </si>
  <si>
    <t>ㅇ 터널내 중계기(발신기동작 등) 작동시험</t>
    <phoneticPr fontId="2" type="noConversion"/>
  </si>
  <si>
    <t>ㅇ 중계기 작동에 의한 타 설비와의 연동상태</t>
    <phoneticPr fontId="2" type="noConversion"/>
  </si>
  <si>
    <t>비상콘센트</t>
    <phoneticPr fontId="2" type="noConversion"/>
  </si>
  <si>
    <t>ㅇ 전원투입상태 및 외관확인</t>
    <phoneticPr fontId="2" type="noConversion"/>
  </si>
  <si>
    <t>관리동
설비</t>
    <phoneticPr fontId="2" type="noConversion"/>
  </si>
  <si>
    <t>화재
수신기</t>
    <phoneticPr fontId="2" type="noConversion"/>
  </si>
  <si>
    <t>ㅇ 회로시험 및 도통시험</t>
    <phoneticPr fontId="2" type="noConversion"/>
  </si>
  <si>
    <t>ㅇ 발신기 동작시험</t>
    <phoneticPr fontId="2" type="noConversion"/>
  </si>
  <si>
    <t>ㅇ 예비전원 충전상태</t>
    <phoneticPr fontId="2" type="noConversion"/>
  </si>
  <si>
    <t>기타</t>
    <phoneticPr fontId="2" type="noConversion"/>
  </si>
  <si>
    <t>ㅇ 실내 조명등 및 공동구 조명점검</t>
    <phoneticPr fontId="2" type="noConversion"/>
  </si>
  <si>
    <t>ㅇ (단터널) 옥외 수배전반 소화기 외관 상태</t>
    <phoneticPr fontId="2" type="noConversion"/>
  </si>
  <si>
    <t>설계서와 과업상이</t>
    <phoneticPr fontId="2" type="noConversion"/>
  </si>
  <si>
    <t>남정1,2</t>
    <phoneticPr fontId="2" type="noConversion"/>
  </si>
  <si>
    <t>남정6</t>
    <phoneticPr fontId="2" type="noConversion"/>
  </si>
  <si>
    <t>강구1</t>
    <phoneticPr fontId="2" type="noConversion"/>
  </si>
  <si>
    <r>
      <rPr>
        <sz val="13"/>
        <color rgb="FFFF00FF"/>
        <rFont val="맑은 고딕"/>
        <family val="3"/>
        <charset val="129"/>
        <scheme val="minor"/>
      </rPr>
      <t>설계서와 과업상이</t>
    </r>
    <r>
      <rPr>
        <sz val="13"/>
        <color rgb="FF0000FF"/>
        <rFont val="맑은 고딕"/>
        <family val="3"/>
        <charset val="129"/>
        <scheme val="minor"/>
      </rPr>
      <t xml:space="preserve"> 분기/단터널</t>
    </r>
    <phoneticPr fontId="2" type="noConversion"/>
  </si>
  <si>
    <t>남정1,2/남정4/남정6/남정7/남정8/강구1/강구2/강구3</t>
    <phoneticPr fontId="2" type="noConversion"/>
  </si>
  <si>
    <t>10,25일</t>
    <phoneticPr fontId="2" type="noConversion"/>
  </si>
  <si>
    <t>'-</t>
  </si>
  <si>
    <t>설계서와 과업 상이</t>
    <phoneticPr fontId="2" type="noConversion"/>
  </si>
  <si>
    <t>○</t>
    <phoneticPr fontId="2" type="noConversion"/>
  </si>
  <si>
    <t>● : 분기(교통차단,단터널)</t>
    <phoneticPr fontId="2" type="noConversion"/>
  </si>
  <si>
    <t>○ 월간목시(스캔점검)</t>
  </si>
  <si>
    <t>○ 월간목시(스캔점검)</t>
    <phoneticPr fontId="2" type="noConversion"/>
  </si>
  <si>
    <t>● 월간</t>
    <phoneticPr fontId="2" type="noConversion"/>
  </si>
  <si>
    <t>◎ 분기</t>
    <phoneticPr fontId="2" type="noConversion"/>
  </si>
  <si>
    <t>● 연차</t>
    <phoneticPr fontId="2" type="noConversion"/>
  </si>
  <si>
    <t>○ 월간</t>
    <phoneticPr fontId="2" type="noConversion"/>
  </si>
  <si>
    <t>◎ 반기</t>
    <phoneticPr fontId="2" type="noConversion"/>
  </si>
  <si>
    <t>● 분기(교통차단,단터널)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</si>
</sst>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yyyy&quot;년 &quot;mm&quot;월 천마터널등 5개소 안전관리자 점검계획서 &quot;"/>
    <numFmt numFmtId="177" formatCode="yyyy&quot;년&quot;;@"/>
    <numFmt numFmtId="178" formatCode="&quot;1.  &quot;mm&quot;월 근무조 편성 및 근무계획&quot;"/>
    <numFmt numFmtId="179" formatCode="d"/>
    <numFmt numFmtId="180" formatCode="aaa"/>
  </numFmts>
  <fonts count="74">
    <font>
      <sz val="11"/>
      <color rgb="FF000000"/>
      <name val="굴림체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Y헤드라인M"/>
      <family val="1"/>
      <charset val="129"/>
    </font>
    <font>
      <sz val="24"/>
      <color rgb="FF000000"/>
      <name val="HY헤드라인M"/>
      <family val="1"/>
      <charset val="129"/>
    </font>
    <font>
      <sz val="10"/>
      <color rgb="FF000000"/>
      <name val="HY헤드라인M"/>
      <family val="1"/>
      <charset val="129"/>
    </font>
    <font>
      <sz val="15"/>
      <color rgb="FF000000"/>
      <name val="HY헤드라인M"/>
      <family val="1"/>
      <charset val="129"/>
    </font>
    <font>
      <sz val="16"/>
      <color rgb="FF000000"/>
      <name val="HY헤드라인M"/>
      <family val="1"/>
      <charset val="129"/>
    </font>
    <font>
      <sz val="11"/>
      <name val="돋움"/>
      <family val="3"/>
      <charset val="129"/>
    </font>
    <font>
      <sz val="13"/>
      <name val="맑은 고딕"/>
      <family val="3"/>
      <charset val="129"/>
      <scheme val="minor"/>
    </font>
    <font>
      <sz val="13"/>
      <color rgb="FFFF00FF"/>
      <name val="맑은 고딕"/>
      <family val="3"/>
      <charset val="129"/>
      <scheme val="minor"/>
    </font>
    <font>
      <b/>
      <sz val="13"/>
      <color rgb="FFFF00FF"/>
      <name val="맑은 고딕"/>
      <family val="3"/>
      <charset val="129"/>
      <scheme val="minor"/>
    </font>
    <font>
      <sz val="13"/>
      <color indexed="14"/>
      <name val="맑은 고딕"/>
      <family val="3"/>
      <charset val="129"/>
      <scheme val="minor"/>
    </font>
    <font>
      <sz val="13"/>
      <color rgb="FF0000FF"/>
      <name val="맑은 고딕"/>
      <family val="3"/>
      <charset val="129"/>
      <scheme val="minor"/>
    </font>
    <font>
      <b/>
      <sz val="13"/>
      <color rgb="FF0000FF"/>
      <name val="맑은 고딕"/>
      <family val="3"/>
      <charset val="129"/>
      <scheme val="minor"/>
    </font>
    <font>
      <sz val="13"/>
      <color indexed="12"/>
      <name val="맑은 고딕"/>
      <family val="3"/>
      <charset val="129"/>
      <scheme val="minor"/>
    </font>
    <font>
      <sz val="13"/>
      <color rgb="FFFF6600"/>
      <name val="맑은 고딕"/>
      <family val="3"/>
      <charset val="129"/>
      <scheme val="minor"/>
    </font>
    <font>
      <b/>
      <sz val="13"/>
      <color rgb="FFA50021"/>
      <name val="맑은 고딕"/>
      <family val="3"/>
      <charset val="129"/>
      <scheme val="minor"/>
    </font>
    <font>
      <sz val="13"/>
      <color rgb="FFA50021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indexed="12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3"/>
      <color indexed="8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24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3"/>
      <color rgb="FFFF0000"/>
      <name val="맑은 고딕"/>
      <family val="3"/>
      <charset val="129"/>
      <scheme val="minor"/>
    </font>
    <font>
      <sz val="11"/>
      <color rgb="FF0000FF"/>
      <name val="돋움"/>
      <family val="3"/>
      <charset val="129"/>
    </font>
    <font>
      <sz val="12"/>
      <name val="맑은 고딕"/>
      <family val="3"/>
      <charset val="129"/>
      <scheme val="minor"/>
    </font>
    <font>
      <sz val="23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3"/>
      <color indexed="10"/>
      <name val="맑은 고딕"/>
      <family val="3"/>
      <charset val="129"/>
      <scheme val="minor"/>
    </font>
    <font>
      <sz val="13"/>
      <color rgb="FF0070C0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sz val="11"/>
      <color rgb="FF000000"/>
      <name val="굴림체"/>
      <family val="3"/>
      <charset val="129"/>
    </font>
    <font>
      <sz val="20"/>
      <name val="HY헤드라인M"/>
      <family val="1"/>
      <charset val="129"/>
    </font>
    <font>
      <sz val="36"/>
      <name val="HY헤드라인M"/>
      <family val="1"/>
      <charset val="129"/>
    </font>
    <font>
      <sz val="28"/>
      <name val="HY헤드라인M"/>
      <family val="1"/>
      <charset val="129"/>
    </font>
    <font>
      <b/>
      <sz val="28"/>
      <name val="HY헤드라인M"/>
      <family val="1"/>
      <charset val="129"/>
    </font>
    <font>
      <sz val="11"/>
      <name val="HY헤드라인M"/>
      <family val="1"/>
      <charset val="129"/>
    </font>
    <font>
      <sz val="14"/>
      <name val="HY헤드라인M"/>
      <family val="1"/>
      <charset val="129"/>
    </font>
    <font>
      <sz val="26"/>
      <name val="HY헤드라인M"/>
      <family val="1"/>
      <charset val="129"/>
    </font>
    <font>
      <sz val="18"/>
      <name val="HY헤드라인M"/>
      <family val="1"/>
      <charset val="129"/>
    </font>
    <font>
      <sz val="16"/>
      <name val="HY헤드라인M"/>
      <family val="1"/>
      <charset val="129"/>
    </font>
    <font>
      <b/>
      <sz val="24"/>
      <color rgb="FF000000"/>
      <name val="HY헤드라인M"/>
      <family val="1"/>
      <charset val="129"/>
    </font>
    <font>
      <sz val="20"/>
      <color rgb="FF000000"/>
      <name val="HY헤드라인M"/>
      <family val="1"/>
      <charset val="129"/>
    </font>
    <font>
      <sz val="20"/>
      <color rgb="FF000000"/>
      <name val="굴림체"/>
      <family val="3"/>
      <charset val="129"/>
    </font>
    <font>
      <b/>
      <sz val="13"/>
      <color rgb="FF000000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  <font>
      <sz val="20"/>
      <color rgb="FF000000"/>
      <name val="맑은 고딕"/>
      <family val="3"/>
      <charset val="129"/>
      <scheme val="minor"/>
    </font>
    <font>
      <sz val="24"/>
      <name val="HY헤드라인M"/>
      <family val="1"/>
      <charset val="129"/>
    </font>
    <font>
      <sz val="24"/>
      <color indexed="8"/>
      <name val="맑은 고딕"/>
      <family val="3"/>
      <charset val="129"/>
      <scheme val="minor"/>
    </font>
    <font>
      <sz val="20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9"/>
      <color rgb="FFBFBFBF"/>
      <name val="굴림체"/>
      <family val="3"/>
      <charset val="129"/>
    </font>
    <font>
      <sz val="13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b/>
      <sz val="13"/>
      <color rgb="FFFF0000"/>
      <name val="맑은 고딕"/>
      <family val="3"/>
      <charset val="129"/>
    </font>
    <font>
      <b/>
      <sz val="13"/>
      <color rgb="FF0070C0"/>
      <name val="맑은 고딕"/>
      <family val="3"/>
      <charset val="129"/>
    </font>
    <font>
      <sz val="13"/>
      <color rgb="FFFF0000"/>
      <name val="맑은 고딕"/>
      <family val="3"/>
      <charset val="129"/>
    </font>
    <font>
      <sz val="13"/>
      <color rgb="FF0000FF"/>
      <name val="맑은 고딕"/>
      <family val="3"/>
      <charset val="129"/>
    </font>
    <font>
      <sz val="13"/>
      <color rgb="FF0070C0"/>
      <name val="맑은 고딕"/>
      <family val="3"/>
      <charset val="129"/>
    </font>
    <font>
      <b/>
      <sz val="13"/>
      <color rgb="FF0070C0"/>
      <name val="맑은 고딕"/>
      <family val="3"/>
      <charset val="129"/>
      <scheme val="minor"/>
    </font>
    <font>
      <sz val="13"/>
      <color theme="9" tint="-0.249977111117893"/>
      <name val="맑은 고딕"/>
      <family val="3"/>
      <charset val="129"/>
      <scheme val="minor"/>
    </font>
    <font>
      <b/>
      <sz val="13"/>
      <color theme="9" tint="-0.249977111117893"/>
      <name val="맑은 고딕"/>
      <family val="3"/>
      <charset val="129"/>
      <scheme val="minor"/>
    </font>
    <font>
      <sz val="14"/>
      <color rgb="FF0000FF"/>
      <name val="맑은 고딕"/>
      <family val="3"/>
      <charset val="129"/>
      <scheme val="minor"/>
    </font>
    <font>
      <sz val="14"/>
      <color theme="9" tint="-0.249977111117893"/>
      <name val="맑은 고딕"/>
      <family val="3"/>
      <charset val="129"/>
      <scheme val="minor"/>
    </font>
    <font>
      <sz val="14"/>
      <color rgb="FFFF00FF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10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40" fillId="0" borderId="0">
      <alignment vertical="center"/>
    </xf>
    <xf numFmtId="0" fontId="11" fillId="0" borderId="99"/>
  </cellStyleXfs>
  <cellXfs count="432">
    <xf numFmtId="0" fontId="0" fillId="0" borderId="0" xfId="0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justify" vertical="center"/>
    </xf>
    <xf numFmtId="0" fontId="9" fillId="0" borderId="0" xfId="0" applyFont="1" applyAlignment="1">
      <alignment horizontal="justify" vertical="center"/>
    </xf>
    <xf numFmtId="0" fontId="10" fillId="0" borderId="0" xfId="0" applyFont="1" applyAlignment="1">
      <alignment horizontal="justify" vertical="center"/>
    </xf>
    <xf numFmtId="0" fontId="5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19" fillId="0" borderId="17" xfId="3" applyFont="1" applyBorder="1" applyAlignment="1">
      <alignment horizontal="centerContinuous" vertical="center"/>
    </xf>
    <xf numFmtId="0" fontId="16" fillId="0" borderId="18" xfId="3" applyFont="1" applyBorder="1" applyAlignment="1">
      <alignment horizontal="centerContinuous" vertical="center"/>
    </xf>
    <xf numFmtId="0" fontId="13" fillId="0" borderId="17" xfId="3" applyFont="1" applyBorder="1" applyAlignment="1">
      <alignment horizontal="centerContinuous" vertical="center"/>
    </xf>
    <xf numFmtId="0" fontId="12" fillId="0" borderId="0" xfId="4" applyFont="1" applyAlignment="1">
      <alignment vertical="center"/>
    </xf>
    <xf numFmtId="0" fontId="12" fillId="0" borderId="0" xfId="3" applyFont="1"/>
    <xf numFmtId="0" fontId="27" fillId="0" borderId="0" xfId="2" applyFont="1" applyAlignment="1">
      <alignment vertical="center"/>
    </xf>
    <xf numFmtId="0" fontId="27" fillId="0" borderId="0" xfId="3" applyFont="1" applyAlignment="1">
      <alignment vertical="center"/>
    </xf>
    <xf numFmtId="0" fontId="12" fillId="0" borderId="0" xfId="3" applyFont="1" applyAlignment="1">
      <alignment horizontal="center"/>
    </xf>
    <xf numFmtId="0" fontId="29" fillId="0" borderId="0" xfId="2" applyFont="1" applyAlignment="1">
      <alignment vertical="center"/>
    </xf>
    <xf numFmtId="0" fontId="13" fillId="0" borderId="23" xfId="3" applyFont="1" applyBorder="1" applyAlignment="1">
      <alignment horizontal="centerContinuous" vertical="center"/>
    </xf>
    <xf numFmtId="0" fontId="19" fillId="0" borderId="23" xfId="3" applyFont="1" applyBorder="1" applyAlignment="1">
      <alignment horizontal="centerContinuous" vertical="center"/>
    </xf>
    <xf numFmtId="0" fontId="13" fillId="0" borderId="27" xfId="3" applyFont="1" applyBorder="1" applyAlignment="1">
      <alignment horizontal="centerContinuous" vertical="center"/>
    </xf>
    <xf numFmtId="0" fontId="30" fillId="0" borderId="0" xfId="2" applyFont="1" applyAlignment="1">
      <alignment vertical="center"/>
    </xf>
    <xf numFmtId="0" fontId="30" fillId="0" borderId="0" xfId="2" applyFont="1" applyAlignment="1">
      <alignment horizontal="left"/>
    </xf>
    <xf numFmtId="0" fontId="29" fillId="0" borderId="0" xfId="2" applyFont="1"/>
    <xf numFmtId="0" fontId="33" fillId="0" borderId="0" xfId="2" applyFont="1"/>
    <xf numFmtId="0" fontId="34" fillId="0" borderId="0" xfId="2" applyFont="1"/>
    <xf numFmtId="0" fontId="5" fillId="0" borderId="0" xfId="2" applyFont="1"/>
    <xf numFmtId="0" fontId="34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0" fontId="36" fillId="0" borderId="0" xfId="2" applyFont="1"/>
    <xf numFmtId="0" fontId="33" fillId="0" borderId="0" xfId="2" applyFont="1" applyAlignment="1">
      <alignment vertical="center"/>
    </xf>
    <xf numFmtId="0" fontId="23" fillId="5" borderId="29" xfId="2" applyFont="1" applyFill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/>
    </xf>
    <xf numFmtId="0" fontId="23" fillId="5" borderId="1" xfId="2" applyFont="1" applyFill="1" applyBorder="1" applyAlignment="1">
      <alignment horizontal="center" vertical="center"/>
    </xf>
    <xf numFmtId="0" fontId="23" fillId="5" borderId="2" xfId="2" applyFont="1" applyFill="1" applyBorder="1" applyAlignment="1">
      <alignment horizontal="center" vertical="center"/>
    </xf>
    <xf numFmtId="0" fontId="23" fillId="5" borderId="1" xfId="2" applyFont="1" applyFill="1" applyBorder="1" applyAlignment="1">
      <alignment horizontal="center" vertical="center" shrinkToFit="1"/>
    </xf>
    <xf numFmtId="0" fontId="23" fillId="5" borderId="2" xfId="2" applyFont="1" applyFill="1" applyBorder="1" applyAlignment="1">
      <alignment horizontal="center" vertical="center" shrinkToFit="1"/>
    </xf>
    <xf numFmtId="0" fontId="23" fillId="0" borderId="36" xfId="2" applyFont="1" applyBorder="1" applyAlignment="1">
      <alignment horizontal="center" vertical="center" shrinkToFit="1"/>
    </xf>
    <xf numFmtId="0" fontId="23" fillId="0" borderId="6" xfId="2" applyFont="1" applyBorder="1" applyAlignment="1">
      <alignment horizontal="center" vertical="center" shrinkToFit="1"/>
    </xf>
    <xf numFmtId="0" fontId="12" fillId="0" borderId="47" xfId="2" applyFont="1" applyBorder="1" applyAlignment="1">
      <alignment horizontal="center" vertical="center" shrinkToFit="1"/>
    </xf>
    <xf numFmtId="0" fontId="12" fillId="0" borderId="0" xfId="2" applyFont="1"/>
    <xf numFmtId="0" fontId="23" fillId="0" borderId="15" xfId="2" applyFont="1" applyBorder="1" applyAlignment="1">
      <alignment horizontal="center" vertical="center" shrinkToFit="1"/>
    </xf>
    <xf numFmtId="0" fontId="23" fillId="0" borderId="18" xfId="2" applyFont="1" applyBorder="1" applyAlignment="1">
      <alignment horizontal="center" vertical="center" shrinkToFit="1"/>
    </xf>
    <xf numFmtId="0" fontId="12" fillId="0" borderId="48" xfId="2" applyFont="1" applyBorder="1" applyAlignment="1">
      <alignment horizontal="center" vertical="center" shrinkToFit="1"/>
    </xf>
    <xf numFmtId="0" fontId="12" fillId="0" borderId="49" xfId="2" applyFont="1" applyBorder="1" applyAlignment="1">
      <alignment horizontal="left" vertical="center" shrinkToFit="1"/>
    </xf>
    <xf numFmtId="0" fontId="12" fillId="0" borderId="41" xfId="2" applyFont="1" applyBorder="1" applyAlignment="1">
      <alignment horizontal="left" vertical="center" shrinkToFit="1"/>
    </xf>
    <xf numFmtId="0" fontId="23" fillId="0" borderId="22" xfId="2" applyFont="1" applyBorder="1" applyAlignment="1">
      <alignment horizontal="center" vertical="center" shrinkToFit="1"/>
    </xf>
    <xf numFmtId="0" fontId="23" fillId="0" borderId="20" xfId="2" applyFont="1" applyBorder="1" applyAlignment="1">
      <alignment horizontal="center" vertical="center" shrinkToFit="1"/>
    </xf>
    <xf numFmtId="0" fontId="23" fillId="4" borderId="20" xfId="2" applyFont="1" applyFill="1" applyBorder="1" applyAlignment="1">
      <alignment horizontal="center" vertical="center" shrinkToFit="1"/>
    </xf>
    <xf numFmtId="0" fontId="12" fillId="0" borderId="50" xfId="2" applyFont="1" applyBorder="1" applyAlignment="1">
      <alignment horizontal="center" vertical="center" shrinkToFit="1"/>
    </xf>
    <xf numFmtId="0" fontId="23" fillId="0" borderId="33" xfId="2" applyFont="1" applyBorder="1" applyAlignment="1">
      <alignment horizontal="center" vertical="center" shrinkToFit="1"/>
    </xf>
    <xf numFmtId="0" fontId="23" fillId="0" borderId="25" xfId="2" applyFont="1" applyBorder="1" applyAlignment="1">
      <alignment horizontal="center" vertical="center" shrinkToFit="1"/>
    </xf>
    <xf numFmtId="0" fontId="23" fillId="4" borderId="25" xfId="2" applyFont="1" applyFill="1" applyBorder="1" applyAlignment="1">
      <alignment horizontal="center" vertical="center" shrinkToFit="1"/>
    </xf>
    <xf numFmtId="0" fontId="17" fillId="0" borderId="31" xfId="2" applyFont="1" applyBorder="1" applyAlignment="1">
      <alignment horizontal="center" vertical="center" shrinkToFit="1"/>
    </xf>
    <xf numFmtId="0" fontId="17" fillId="0" borderId="0" xfId="2" applyFont="1" applyAlignment="1">
      <alignment horizontal="center" vertical="center"/>
    </xf>
    <xf numFmtId="0" fontId="16" fillId="0" borderId="48" xfId="2" applyFont="1" applyBorder="1" applyAlignment="1">
      <alignment horizontal="center" vertical="center" shrinkToFit="1"/>
    </xf>
    <xf numFmtId="0" fontId="17" fillId="0" borderId="36" xfId="2" applyFont="1" applyBorder="1" applyAlignment="1">
      <alignment horizontal="center" vertical="center"/>
    </xf>
    <xf numFmtId="0" fontId="17" fillId="0" borderId="6" xfId="2" applyFont="1" applyBorder="1" applyAlignment="1">
      <alignment horizontal="center" vertical="center"/>
    </xf>
    <xf numFmtId="0" fontId="16" fillId="0" borderId="47" xfId="2" applyFont="1" applyBorder="1" applyAlignment="1">
      <alignment horizontal="center" vertical="center" shrinkToFit="1"/>
    </xf>
    <xf numFmtId="0" fontId="37" fillId="0" borderId="0" xfId="2" applyFont="1" applyAlignment="1">
      <alignment vertical="center"/>
    </xf>
    <xf numFmtId="0" fontId="37" fillId="0" borderId="0" xfId="2" applyFont="1"/>
    <xf numFmtId="0" fontId="37" fillId="0" borderId="48" xfId="2" applyFont="1" applyBorder="1" applyAlignment="1">
      <alignment horizontal="center" vertical="center" shrinkToFit="1"/>
    </xf>
    <xf numFmtId="0" fontId="38" fillId="0" borderId="0" xfId="2" applyFont="1" applyAlignment="1">
      <alignment vertical="center"/>
    </xf>
    <xf numFmtId="0" fontId="39" fillId="0" borderId="33" xfId="2" applyFont="1" applyBorder="1" applyAlignment="1">
      <alignment horizontal="center" vertical="center" shrinkToFit="1"/>
    </xf>
    <xf numFmtId="0" fontId="39" fillId="0" borderId="25" xfId="2" applyFont="1" applyBorder="1" applyAlignment="1">
      <alignment horizontal="center" vertical="center" shrinkToFit="1"/>
    </xf>
    <xf numFmtId="0" fontId="31" fillId="0" borderId="47" xfId="2" applyFont="1" applyBorder="1" applyAlignment="1">
      <alignment horizontal="center" vertical="center" shrinkToFit="1"/>
    </xf>
    <xf numFmtId="0" fontId="39" fillId="0" borderId="15" xfId="2" applyFont="1" applyBorder="1" applyAlignment="1">
      <alignment horizontal="center" vertical="center" shrinkToFit="1"/>
    </xf>
    <xf numFmtId="0" fontId="39" fillId="0" borderId="18" xfId="2" applyFont="1" applyBorder="1" applyAlignment="1">
      <alignment horizontal="center" vertical="center" shrinkToFit="1"/>
    </xf>
    <xf numFmtId="0" fontId="31" fillId="0" borderId="48" xfId="2" applyFont="1" applyBorder="1" applyAlignment="1">
      <alignment horizontal="center" vertical="center" shrinkToFit="1"/>
    </xf>
    <xf numFmtId="0" fontId="39" fillId="0" borderId="22" xfId="2" applyFont="1" applyBorder="1" applyAlignment="1">
      <alignment horizontal="center" vertical="center" shrinkToFit="1"/>
    </xf>
    <xf numFmtId="0" fontId="39" fillId="0" borderId="20" xfId="2" applyFont="1" applyBorder="1" applyAlignment="1">
      <alignment horizontal="center" vertical="center" shrinkToFit="1"/>
    </xf>
    <xf numFmtId="0" fontId="31" fillId="0" borderId="50" xfId="2" applyFont="1" applyBorder="1" applyAlignment="1">
      <alignment horizontal="center" vertical="center" shrinkToFit="1"/>
    </xf>
    <xf numFmtId="0" fontId="17" fillId="4" borderId="20" xfId="2" applyFont="1" applyFill="1" applyBorder="1" applyAlignment="1">
      <alignment horizontal="center" vertical="center" shrinkToFit="1"/>
    </xf>
    <xf numFmtId="0" fontId="37" fillId="0" borderId="50" xfId="2" applyFont="1" applyBorder="1" applyAlignment="1">
      <alignment horizontal="center" vertical="center" shrinkToFit="1"/>
    </xf>
    <xf numFmtId="0" fontId="31" fillId="0" borderId="51" xfId="2" applyFont="1" applyBorder="1" applyAlignment="1">
      <alignment horizontal="center" vertical="center" shrinkToFit="1"/>
    </xf>
    <xf numFmtId="0" fontId="17" fillId="0" borderId="15" xfId="2" applyFont="1" applyBorder="1" applyAlignment="1">
      <alignment horizontal="center" vertical="center" shrinkToFit="1"/>
    </xf>
    <xf numFmtId="0" fontId="17" fillId="0" borderId="18" xfId="2" applyFont="1" applyBorder="1" applyAlignment="1">
      <alignment horizontal="center" vertical="center" shrinkToFit="1"/>
    </xf>
    <xf numFmtId="0" fontId="31" fillId="0" borderId="52" xfId="2" applyFont="1" applyBorder="1" applyAlignment="1">
      <alignment horizontal="center" vertical="center" shrinkToFit="1"/>
    </xf>
    <xf numFmtId="0" fontId="17" fillId="0" borderId="33" xfId="2" applyFont="1" applyBorder="1" applyAlignment="1">
      <alignment horizontal="center" vertical="center" shrinkToFit="1"/>
    </xf>
    <xf numFmtId="0" fontId="17" fillId="0" borderId="25" xfId="2" applyFont="1" applyBorder="1" applyAlignment="1">
      <alignment horizontal="center" vertical="center" shrinkToFit="1"/>
    </xf>
    <xf numFmtId="0" fontId="17" fillId="0" borderId="22" xfId="2" applyFont="1" applyBorder="1" applyAlignment="1">
      <alignment horizontal="center" vertical="center" shrinkToFit="1"/>
    </xf>
    <xf numFmtId="0" fontId="17" fillId="0" borderId="20" xfId="2" applyFont="1" applyBorder="1" applyAlignment="1">
      <alignment horizontal="center" vertical="center" shrinkToFit="1"/>
    </xf>
    <xf numFmtId="0" fontId="16" fillId="0" borderId="50" xfId="2" applyFont="1" applyBorder="1" applyAlignment="1">
      <alignment horizontal="center" vertical="center" shrinkToFit="1"/>
    </xf>
    <xf numFmtId="0" fontId="12" fillId="0" borderId="8" xfId="2" applyFont="1" applyBorder="1" applyAlignment="1">
      <alignment horizontal="center" vertical="center" shrinkToFit="1"/>
    </xf>
    <xf numFmtId="0" fontId="39" fillId="0" borderId="40" xfId="2" applyFont="1" applyBorder="1" applyAlignment="1">
      <alignment horizontal="center" vertical="center" shrinkToFit="1"/>
    </xf>
    <xf numFmtId="0" fontId="39" fillId="0" borderId="16" xfId="2" applyFont="1" applyBorder="1" applyAlignment="1">
      <alignment horizontal="center" vertical="center" shrinkToFit="1"/>
    </xf>
    <xf numFmtId="0" fontId="31" fillId="0" borderId="43" xfId="2" applyFont="1" applyBorder="1" applyAlignment="1">
      <alignment horizontal="center" vertical="center" shrinkToFit="1"/>
    </xf>
    <xf numFmtId="0" fontId="23" fillId="0" borderId="34" xfId="2" applyFont="1" applyBorder="1" applyAlignment="1">
      <alignment horizontal="center" vertical="center" shrinkToFit="1"/>
    </xf>
    <xf numFmtId="0" fontId="23" fillId="0" borderId="24" xfId="2" applyFont="1" applyBorder="1" applyAlignment="1">
      <alignment horizontal="center" vertical="center" shrinkToFit="1"/>
    </xf>
    <xf numFmtId="0" fontId="12" fillId="0" borderId="52" xfId="2" applyFont="1" applyBorder="1" applyAlignment="1">
      <alignment horizontal="center" vertical="center" shrinkToFit="1"/>
    </xf>
    <xf numFmtId="0" fontId="23" fillId="0" borderId="26" xfId="2" applyFont="1" applyBorder="1" applyAlignment="1">
      <alignment horizontal="center" vertical="center" shrinkToFit="1"/>
    </xf>
    <xf numFmtId="0" fontId="17" fillId="4" borderId="25" xfId="2" applyFont="1" applyFill="1" applyBorder="1" applyAlignment="1">
      <alignment horizontal="center" vertical="center" shrinkToFit="1"/>
    </xf>
    <xf numFmtId="0" fontId="17" fillId="0" borderId="9" xfId="2" applyFont="1" applyBorder="1" applyAlignment="1">
      <alignment horizontal="center" vertical="center" shrinkToFit="1"/>
    </xf>
    <xf numFmtId="0" fontId="23" fillId="0" borderId="16" xfId="2" applyFont="1" applyBorder="1" applyAlignment="1">
      <alignment horizontal="center" vertical="center" shrinkToFit="1"/>
    </xf>
    <xf numFmtId="0" fontId="17" fillId="0" borderId="57" xfId="2" applyFont="1" applyBorder="1" applyAlignment="1">
      <alignment horizontal="center" vertical="center"/>
    </xf>
    <xf numFmtId="0" fontId="17" fillId="0" borderId="56" xfId="2" applyFont="1" applyBorder="1" applyAlignment="1">
      <alignment horizontal="center" vertical="center"/>
    </xf>
    <xf numFmtId="0" fontId="17" fillId="0" borderId="18" xfId="2" applyFont="1" applyBorder="1" applyAlignment="1">
      <alignment horizontal="center" vertical="center"/>
    </xf>
    <xf numFmtId="0" fontId="23" fillId="0" borderId="0" xfId="2" applyFont="1"/>
    <xf numFmtId="0" fontId="27" fillId="0" borderId="0" xfId="2" applyFont="1"/>
    <xf numFmtId="0" fontId="23" fillId="5" borderId="59" xfId="2" applyFont="1" applyFill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4" xfId="2" applyFont="1" applyBorder="1" applyAlignment="1">
      <alignment vertical="center"/>
    </xf>
    <xf numFmtId="0" fontId="12" fillId="0" borderId="51" xfId="2" applyFont="1" applyBorder="1" applyAlignment="1">
      <alignment horizontal="center" vertical="center"/>
    </xf>
    <xf numFmtId="0" fontId="12" fillId="0" borderId="60" xfId="2" applyFont="1" applyBorder="1" applyAlignment="1">
      <alignment horizontal="center" vertical="center"/>
    </xf>
    <xf numFmtId="0" fontId="12" fillId="0" borderId="60" xfId="2" applyFont="1" applyBorder="1" applyAlignment="1">
      <alignment vertical="center"/>
    </xf>
    <xf numFmtId="0" fontId="12" fillId="0" borderId="48" xfId="2" applyFont="1" applyBorder="1" applyAlignment="1">
      <alignment horizontal="center" vertical="center"/>
    </xf>
    <xf numFmtId="0" fontId="12" fillId="0" borderId="52" xfId="2" applyFont="1" applyBorder="1" applyAlignment="1">
      <alignment horizontal="center" vertical="center"/>
    </xf>
    <xf numFmtId="0" fontId="12" fillId="0" borderId="61" xfId="2" applyFont="1" applyBorder="1" applyAlignment="1">
      <alignment horizontal="center" vertical="center"/>
    </xf>
    <xf numFmtId="0" fontId="12" fillId="0" borderId="61" xfId="2" applyFont="1" applyBorder="1" applyAlignment="1">
      <alignment vertical="center"/>
    </xf>
    <xf numFmtId="0" fontId="12" fillId="0" borderId="50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5" xfId="2" applyFont="1" applyBorder="1" applyAlignment="1">
      <alignment vertical="center"/>
    </xf>
    <xf numFmtId="0" fontId="12" fillId="0" borderId="47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vertical="center"/>
    </xf>
    <xf numFmtId="0" fontId="12" fillId="0" borderId="59" xfId="2" applyFont="1" applyBorder="1" applyAlignment="1">
      <alignment horizontal="center" vertical="center"/>
    </xf>
    <xf numFmtId="0" fontId="12" fillId="0" borderId="62" xfId="2" applyFont="1" applyBorder="1" applyAlignment="1">
      <alignment horizontal="center" vertical="center"/>
    </xf>
    <xf numFmtId="0" fontId="12" fillId="0" borderId="62" xfId="2" applyFont="1" applyBorder="1" applyAlignment="1">
      <alignment vertical="center"/>
    </xf>
    <xf numFmtId="0" fontId="12" fillId="0" borderId="63" xfId="2" applyFont="1" applyBorder="1" applyAlignment="1">
      <alignment horizontal="center" vertical="center"/>
    </xf>
    <xf numFmtId="0" fontId="41" fillId="0" borderId="0" xfId="2" applyFont="1" applyAlignment="1">
      <alignment horizontal="centerContinuous"/>
    </xf>
    <xf numFmtId="0" fontId="41" fillId="0" borderId="0" xfId="2" applyFont="1"/>
    <xf numFmtId="176" fontId="42" fillId="0" borderId="0" xfId="2" applyNumberFormat="1" applyFont="1" applyAlignment="1">
      <alignment horizontal="centerContinuous" vertical="center"/>
    </xf>
    <xf numFmtId="0" fontId="42" fillId="0" borderId="0" xfId="2" applyFont="1" applyAlignment="1">
      <alignment horizontal="centerContinuous" vertical="center"/>
    </xf>
    <xf numFmtId="0" fontId="43" fillId="0" borderId="0" xfId="2" applyFont="1" applyAlignment="1">
      <alignment vertical="center"/>
    </xf>
    <xf numFmtId="0" fontId="44" fillId="0" borderId="0" xfId="2" applyFont="1" applyAlignment="1">
      <alignment vertical="center"/>
    </xf>
    <xf numFmtId="0" fontId="45" fillId="0" borderId="0" xfId="2" applyFont="1"/>
    <xf numFmtId="0" fontId="46" fillId="0" borderId="0" xfId="2" applyFont="1" applyAlignment="1">
      <alignment vertical="center"/>
    </xf>
    <xf numFmtId="177" fontId="47" fillId="0" borderId="0" xfId="2" applyNumberFormat="1" applyFont="1" applyAlignment="1">
      <alignment horizontal="centerContinuous" vertical="center"/>
    </xf>
    <xf numFmtId="0" fontId="47" fillId="0" borderId="0" xfId="2" applyFont="1" applyAlignment="1">
      <alignment horizontal="centerContinuous" vertical="center"/>
    </xf>
    <xf numFmtId="0" fontId="47" fillId="0" borderId="0" xfId="2" applyFont="1"/>
    <xf numFmtId="177" fontId="48" fillId="0" borderId="0" xfId="2" applyNumberFormat="1" applyFont="1" applyAlignment="1">
      <alignment vertical="center"/>
    </xf>
    <xf numFmtId="0" fontId="49" fillId="0" borderId="0" xfId="2" applyFont="1" applyAlignment="1">
      <alignment horizontal="center"/>
    </xf>
    <xf numFmtId="0" fontId="47" fillId="0" borderId="0" xfId="2" applyFont="1" applyAlignment="1">
      <alignment vertical="center"/>
    </xf>
    <xf numFmtId="0" fontId="7" fillId="0" borderId="0" xfId="5" applyFont="1">
      <alignment vertical="center"/>
    </xf>
    <xf numFmtId="0" fontId="40" fillId="0" borderId="0" xfId="5">
      <alignment vertical="center"/>
    </xf>
    <xf numFmtId="0" fontId="50" fillId="0" borderId="0" xfId="5" applyFont="1">
      <alignment vertical="center"/>
    </xf>
    <xf numFmtId="0" fontId="51" fillId="0" borderId="0" xfId="5" applyFont="1">
      <alignment vertical="center"/>
    </xf>
    <xf numFmtId="0" fontId="52" fillId="0" borderId="0" xfId="5" applyFont="1">
      <alignment vertical="center"/>
    </xf>
    <xf numFmtId="0" fontId="53" fillId="5" borderId="36" xfId="5" applyFont="1" applyFill="1" applyBorder="1" applyAlignment="1">
      <alignment horizontal="center" vertical="center" shrinkToFit="1"/>
    </xf>
    <xf numFmtId="0" fontId="53" fillId="5" borderId="6" xfId="5" applyFont="1" applyFill="1" applyBorder="1" applyAlignment="1">
      <alignment horizontal="center" vertical="center" shrinkToFit="1"/>
    </xf>
    <xf numFmtId="0" fontId="53" fillId="5" borderId="37" xfId="5" applyFont="1" applyFill="1" applyBorder="1" applyAlignment="1">
      <alignment horizontal="center" vertical="center" shrinkToFit="1"/>
    </xf>
    <xf numFmtId="0" fontId="54" fillId="0" borderId="18" xfId="5" applyFont="1" applyBorder="1" applyAlignment="1">
      <alignment horizontal="center" vertical="center"/>
    </xf>
    <xf numFmtId="0" fontId="54" fillId="2" borderId="38" xfId="5" applyFont="1" applyFill="1" applyBorder="1" applyAlignment="1">
      <alignment horizontal="center" vertical="center" shrinkToFit="1"/>
    </xf>
    <xf numFmtId="0" fontId="54" fillId="0" borderId="20" xfId="1" applyFont="1" applyBorder="1" applyAlignment="1">
      <alignment horizontal="center" vertical="center"/>
    </xf>
    <xf numFmtId="0" fontId="54" fillId="0" borderId="39" xfId="5" applyFont="1" applyBorder="1" applyAlignment="1">
      <alignment horizontal="center" vertical="center"/>
    </xf>
    <xf numFmtId="0" fontId="3" fillId="0" borderId="0" xfId="5" applyFont="1">
      <alignment vertical="center"/>
    </xf>
    <xf numFmtId="0" fontId="55" fillId="0" borderId="0" xfId="5" applyFont="1">
      <alignment vertical="center"/>
    </xf>
    <xf numFmtId="0" fontId="54" fillId="0" borderId="0" xfId="5" applyFont="1">
      <alignment vertical="center"/>
    </xf>
    <xf numFmtId="0" fontId="12" fillId="3" borderId="18" xfId="5" applyFont="1" applyFill="1" applyBorder="1" applyAlignment="1">
      <alignment horizontal="center" vertical="center"/>
    </xf>
    <xf numFmtId="0" fontId="56" fillId="0" borderId="0" xfId="2" applyFont="1" applyAlignment="1">
      <alignment vertical="center"/>
    </xf>
    <xf numFmtId="0" fontId="56" fillId="0" borderId="0" xfId="2" applyFont="1" applyAlignment="1">
      <alignment horizontal="center" vertical="center"/>
    </xf>
    <xf numFmtId="0" fontId="41" fillId="0" borderId="0" xfId="2" applyFont="1" applyAlignment="1">
      <alignment horizontal="center"/>
    </xf>
    <xf numFmtId="178" fontId="41" fillId="0" borderId="0" xfId="2" applyNumberFormat="1" applyFont="1" applyAlignment="1">
      <alignment vertical="center"/>
    </xf>
    <xf numFmtId="0" fontId="56" fillId="0" borderId="0" xfId="3" applyFont="1" applyAlignment="1">
      <alignment vertical="center"/>
    </xf>
    <xf numFmtId="0" fontId="56" fillId="0" borderId="0" xfId="3" applyFont="1" applyAlignment="1">
      <alignment horizontal="left" vertical="center"/>
    </xf>
    <xf numFmtId="0" fontId="57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0" fontId="41" fillId="0" borderId="0" xfId="3" applyFont="1" applyAlignment="1">
      <alignment vertical="center"/>
    </xf>
    <xf numFmtId="0" fontId="58" fillId="0" borderId="0" xfId="2" applyFont="1" applyAlignment="1">
      <alignment vertical="center"/>
    </xf>
    <xf numFmtId="0" fontId="12" fillId="0" borderId="18" xfId="3" applyFont="1" applyBorder="1" applyAlignment="1">
      <alignment horizontal="left" vertical="center" shrinkToFit="1"/>
    </xf>
    <xf numFmtId="0" fontId="12" fillId="0" borderId="0" xfId="3" applyFont="1" applyAlignment="1">
      <alignment vertical="center"/>
    </xf>
    <xf numFmtId="0" fontId="18" fillId="0" borderId="18" xfId="3" applyFont="1" applyBorder="1" applyAlignment="1">
      <alignment horizontal="left" vertical="center" shrinkToFit="1"/>
    </xf>
    <xf numFmtId="0" fontId="12" fillId="0" borderId="18" xfId="2" applyFont="1" applyBorder="1" applyAlignment="1">
      <alignment horizontal="centerContinuous" vertical="center"/>
    </xf>
    <xf numFmtId="0" fontId="16" fillId="0" borderId="38" xfId="3" applyFont="1" applyBorder="1" applyAlignment="1">
      <alignment horizontal="centerContinuous" vertical="center"/>
    </xf>
    <xf numFmtId="0" fontId="37" fillId="0" borderId="0" xfId="4" applyFont="1" applyAlignment="1">
      <alignment vertical="center"/>
    </xf>
    <xf numFmtId="0" fontId="26" fillId="0" borderId="18" xfId="3" applyFont="1" applyBorder="1" applyAlignment="1">
      <alignment horizontal="left" vertical="center" shrinkToFit="1"/>
    </xf>
    <xf numFmtId="0" fontId="18" fillId="0" borderId="0" xfId="4" applyFont="1" applyAlignment="1">
      <alignment vertical="center"/>
    </xf>
    <xf numFmtId="0" fontId="15" fillId="0" borderId="18" xfId="3" applyFont="1" applyBorder="1" applyAlignment="1">
      <alignment horizontal="left" vertical="center" shrinkToFit="1"/>
    </xf>
    <xf numFmtId="0" fontId="15" fillId="0" borderId="0" xfId="2" applyFont="1" applyAlignment="1">
      <alignment vertical="center"/>
    </xf>
    <xf numFmtId="0" fontId="13" fillId="0" borderId="18" xfId="3" applyFont="1" applyBorder="1" applyAlignment="1">
      <alignment horizontal="left" vertical="center" shrinkToFit="1"/>
    </xf>
    <xf numFmtId="0" fontId="18" fillId="0" borderId="18" xfId="3" applyFont="1" applyBorder="1" applyAlignment="1">
      <alignment vertical="center"/>
    </xf>
    <xf numFmtId="0" fontId="15" fillId="0" borderId="18" xfId="3" applyFont="1" applyBorder="1" applyAlignment="1">
      <alignment vertical="center"/>
    </xf>
    <xf numFmtId="0" fontId="16" fillId="0" borderId="18" xfId="3" applyFont="1" applyBorder="1" applyAlignment="1">
      <alignment horizontal="left" vertical="center" shrinkToFit="1"/>
    </xf>
    <xf numFmtId="0" fontId="16" fillId="0" borderId="0" xfId="4" applyFont="1" applyAlignment="1">
      <alignment vertical="center"/>
    </xf>
    <xf numFmtId="0" fontId="12" fillId="0" borderId="18" xfId="3" applyFont="1" applyBorder="1" applyAlignment="1">
      <alignment horizontal="center" vertical="center" shrinkToFit="1"/>
    </xf>
    <xf numFmtId="0" fontId="16" fillId="0" borderId="20" xfId="3" applyFont="1" applyBorder="1" applyAlignment="1">
      <alignment horizontal="left" vertical="center" shrinkToFit="1"/>
    </xf>
    <xf numFmtId="0" fontId="59" fillId="0" borderId="0" xfId="2" applyFont="1" applyAlignment="1">
      <alignment vertical="center"/>
    </xf>
    <xf numFmtId="0" fontId="29" fillId="0" borderId="0" xfId="3" applyFont="1" applyAlignment="1">
      <alignment vertical="center"/>
    </xf>
    <xf numFmtId="0" fontId="29" fillId="0" borderId="0" xfId="3" applyFont="1" applyAlignment="1">
      <alignment horizontal="left" vertical="center"/>
    </xf>
    <xf numFmtId="0" fontId="26" fillId="0" borderId="0" xfId="4" applyFont="1" applyAlignment="1">
      <alignment vertical="center"/>
    </xf>
    <xf numFmtId="0" fontId="21" fillId="0" borderId="0" xfId="2" applyFont="1" applyAlignment="1">
      <alignment vertical="center"/>
    </xf>
    <xf numFmtId="0" fontId="16" fillId="0" borderId="21" xfId="3" applyFont="1" applyBorder="1" applyAlignment="1">
      <alignment horizontal="centerContinuous" vertical="center"/>
    </xf>
    <xf numFmtId="0" fontId="16" fillId="0" borderId="19" xfId="3" applyFont="1" applyBorder="1" applyAlignment="1">
      <alignment horizontal="centerContinuous" vertical="center"/>
    </xf>
    <xf numFmtId="0" fontId="32" fillId="0" borderId="21" xfId="2" applyFont="1" applyBorder="1" applyAlignment="1">
      <alignment horizontal="centerContinuous" vertical="center"/>
    </xf>
    <xf numFmtId="0" fontId="32" fillId="0" borderId="19" xfId="2" applyFont="1" applyBorder="1" applyAlignment="1">
      <alignment horizontal="centerContinuous" vertical="center"/>
    </xf>
    <xf numFmtId="0" fontId="32" fillId="0" borderId="41" xfId="2" applyFont="1" applyBorder="1" applyAlignment="1">
      <alignment horizontal="centerContinuous" vertical="center"/>
    </xf>
    <xf numFmtId="0" fontId="13" fillId="0" borderId="21" xfId="3" applyFont="1" applyBorder="1" applyAlignment="1">
      <alignment horizontal="centerContinuous" vertical="center"/>
    </xf>
    <xf numFmtId="0" fontId="13" fillId="0" borderId="19" xfId="3" applyFont="1" applyBorder="1" applyAlignment="1">
      <alignment horizontal="centerContinuous" vertical="center"/>
    </xf>
    <xf numFmtId="0" fontId="13" fillId="0" borderId="41" xfId="3" applyFont="1" applyBorder="1" applyAlignment="1">
      <alignment horizontal="centerContinuous" vertical="center"/>
    </xf>
    <xf numFmtId="0" fontId="19" fillId="0" borderId="14" xfId="3" applyFont="1" applyBorder="1" applyAlignment="1">
      <alignment horizontal="centerContinuous" vertical="center"/>
    </xf>
    <xf numFmtId="0" fontId="13" fillId="0" borderId="14" xfId="3" applyFont="1" applyBorder="1" applyAlignment="1">
      <alignment horizontal="centerContinuous" vertical="center"/>
    </xf>
    <xf numFmtId="0" fontId="23" fillId="0" borderId="64" xfId="2" applyFont="1" applyBorder="1" applyAlignment="1">
      <alignment horizontal="center" vertical="center" shrinkToFit="1"/>
    </xf>
    <xf numFmtId="0" fontId="23" fillId="0" borderId="32" xfId="2" applyFont="1" applyBorder="1" applyAlignment="1">
      <alignment horizontal="center" vertical="center" shrinkToFit="1"/>
    </xf>
    <xf numFmtId="0" fontId="13" fillId="0" borderId="65" xfId="2" applyFont="1" applyBorder="1" applyAlignment="1">
      <alignment horizontal="center" vertical="center" shrinkToFit="1"/>
    </xf>
    <xf numFmtId="0" fontId="53" fillId="5" borderId="66" xfId="5" applyFont="1" applyFill="1" applyBorder="1" applyAlignment="1">
      <alignment horizontal="center" vertical="center" shrinkToFit="1"/>
    </xf>
    <xf numFmtId="0" fontId="12" fillId="3" borderId="23" xfId="5" applyFont="1" applyFill="1" applyBorder="1" applyAlignment="1">
      <alignment horizontal="center" vertical="center"/>
    </xf>
    <xf numFmtId="0" fontId="54" fillId="0" borderId="21" xfId="1" applyFont="1" applyBorder="1" applyAlignment="1">
      <alignment horizontal="center" vertical="center"/>
    </xf>
    <xf numFmtId="0" fontId="60" fillId="7" borderId="0" xfId="5" applyFont="1" applyFill="1" applyAlignment="1">
      <alignment horizontal="center" vertical="center"/>
    </xf>
    <xf numFmtId="0" fontId="54" fillId="0" borderId="1" xfId="5" applyFont="1" applyBorder="1" applyAlignment="1">
      <alignment horizontal="center" vertical="center"/>
    </xf>
    <xf numFmtId="0" fontId="16" fillId="3" borderId="23" xfId="5" applyFont="1" applyFill="1" applyBorder="1" applyAlignment="1">
      <alignment horizontal="center" vertical="center"/>
    </xf>
    <xf numFmtId="0" fontId="54" fillId="3" borderId="23" xfId="5" applyFont="1" applyFill="1" applyBorder="1" applyAlignment="1">
      <alignment horizontal="center" vertical="center"/>
    </xf>
    <xf numFmtId="0" fontId="54" fillId="0" borderId="1" xfId="5" applyFont="1" applyBorder="1">
      <alignment vertical="center"/>
    </xf>
    <xf numFmtId="0" fontId="62" fillId="0" borderId="0" xfId="0" applyFont="1">
      <alignment vertical="center"/>
    </xf>
    <xf numFmtId="0" fontId="63" fillId="6" borderId="0" xfId="5" applyFont="1" applyFill="1" applyAlignment="1">
      <alignment horizontal="center" vertical="center"/>
    </xf>
    <xf numFmtId="0" fontId="62" fillId="6" borderId="0" xfId="5" applyFont="1" applyFill="1" applyAlignment="1">
      <alignment horizontal="center" vertical="center"/>
    </xf>
    <xf numFmtId="0" fontId="64" fillId="6" borderId="0" xfId="5" applyFont="1" applyFill="1" applyAlignment="1">
      <alignment horizontal="center" vertical="center"/>
    </xf>
    <xf numFmtId="0" fontId="65" fillId="2" borderId="0" xfId="5" applyFont="1" applyFill="1" applyAlignment="1">
      <alignment horizontal="center" vertical="center"/>
    </xf>
    <xf numFmtId="0" fontId="61" fillId="2" borderId="0" xfId="5" applyFont="1" applyFill="1" applyAlignment="1">
      <alignment horizontal="center" vertical="center"/>
    </xf>
    <xf numFmtId="0" fontId="67" fillId="2" borderId="0" xfId="5" applyFont="1" applyFill="1" applyAlignment="1">
      <alignment horizontal="center" vertical="center"/>
    </xf>
    <xf numFmtId="0" fontId="66" fillId="2" borderId="0" xfId="5" applyFont="1" applyFill="1" applyAlignment="1">
      <alignment horizontal="center" vertical="center"/>
    </xf>
    <xf numFmtId="0" fontId="39" fillId="6" borderId="0" xfId="5" applyFont="1" applyFill="1" applyAlignment="1">
      <alignment horizontal="center" vertical="center"/>
    </xf>
    <xf numFmtId="0" fontId="53" fillId="6" borderId="0" xfId="5" applyFont="1" applyFill="1" applyAlignment="1">
      <alignment horizontal="center" vertical="center"/>
    </xf>
    <xf numFmtId="0" fontId="68" fillId="6" borderId="0" xfId="5" applyFont="1" applyFill="1" applyAlignment="1">
      <alignment horizontal="center" vertical="center"/>
    </xf>
    <xf numFmtId="0" fontId="54" fillId="0" borderId="0" xfId="5" applyFont="1" applyAlignment="1">
      <alignment horizontal="center" vertical="center"/>
    </xf>
    <xf numFmtId="0" fontId="38" fillId="0" borderId="0" xfId="5" applyFont="1" applyAlignment="1">
      <alignment horizontal="center" vertical="center"/>
    </xf>
    <xf numFmtId="0" fontId="31" fillId="0" borderId="0" xfId="5" applyFont="1" applyAlignment="1">
      <alignment horizontal="center" vertical="center"/>
    </xf>
    <xf numFmtId="179" fontId="54" fillId="0" borderId="15" xfId="5" applyNumberFormat="1" applyFont="1" applyBorder="1" applyAlignment="1">
      <alignment horizontal="center" vertical="center"/>
    </xf>
    <xf numFmtId="180" fontId="54" fillId="0" borderId="18" xfId="5" applyNumberFormat="1" applyFont="1" applyBorder="1" applyAlignment="1">
      <alignment horizontal="center" vertical="center"/>
    </xf>
    <xf numFmtId="179" fontId="16" fillId="0" borderId="15" xfId="5" applyNumberFormat="1" applyFont="1" applyBorder="1" applyAlignment="1">
      <alignment horizontal="center" vertical="center"/>
    </xf>
    <xf numFmtId="180" fontId="16" fillId="0" borderId="18" xfId="5" applyNumberFormat="1" applyFont="1" applyBorder="1" applyAlignment="1">
      <alignment horizontal="center" vertical="center"/>
    </xf>
    <xf numFmtId="179" fontId="31" fillId="0" borderId="15" xfId="5" applyNumberFormat="1" applyFont="1" applyBorder="1" applyAlignment="1">
      <alignment horizontal="center" vertical="center"/>
    </xf>
    <xf numFmtId="180" fontId="31" fillId="0" borderId="18" xfId="5" applyNumberFormat="1" applyFont="1" applyBorder="1" applyAlignment="1">
      <alignment horizontal="center" vertical="center"/>
    </xf>
    <xf numFmtId="0" fontId="31" fillId="2" borderId="38" xfId="5" applyFont="1" applyFill="1" applyBorder="1" applyAlignment="1">
      <alignment horizontal="center" vertical="center" shrinkToFit="1"/>
    </xf>
    <xf numFmtId="0" fontId="16" fillId="0" borderId="38" xfId="5" applyFont="1" applyBorder="1" applyAlignment="1">
      <alignment horizontal="center" vertical="center" shrinkToFit="1"/>
    </xf>
    <xf numFmtId="0" fontId="16" fillId="2" borderId="38" xfId="5" applyFont="1" applyFill="1" applyBorder="1" applyAlignment="1">
      <alignment horizontal="center" vertical="center" shrinkToFit="1"/>
    </xf>
    <xf numFmtId="0" fontId="12" fillId="2" borderId="38" xfId="5" applyFont="1" applyFill="1" applyBorder="1" applyAlignment="1">
      <alignment horizontal="center" vertical="center" shrinkToFit="1"/>
    </xf>
    <xf numFmtId="0" fontId="12" fillId="0" borderId="38" xfId="5" applyFont="1" applyBorder="1" applyAlignment="1">
      <alignment horizontal="center" vertical="center" shrinkToFit="1"/>
    </xf>
    <xf numFmtId="0" fontId="31" fillId="0" borderId="38" xfId="5" applyFont="1" applyBorder="1" applyAlignment="1">
      <alignment horizontal="center" vertical="center" shrinkToFit="1"/>
    </xf>
    <xf numFmtId="0" fontId="54" fillId="0" borderId="39" xfId="5" applyFont="1" applyBorder="1" applyAlignment="1">
      <alignment horizontal="center" vertical="center" shrinkToFit="1"/>
    </xf>
    <xf numFmtId="0" fontId="16" fillId="0" borderId="0" xfId="2" applyFont="1" applyAlignment="1">
      <alignment vertical="center"/>
    </xf>
    <xf numFmtId="0" fontId="69" fillId="0" borderId="18" xfId="3" applyFont="1" applyBorder="1" applyAlignment="1">
      <alignment horizontal="left" vertical="center" shrinkToFit="1"/>
    </xf>
    <xf numFmtId="0" fontId="69" fillId="0" borderId="23" xfId="3" applyFont="1" applyBorder="1" applyAlignment="1">
      <alignment horizontal="centerContinuous" vertical="center"/>
    </xf>
    <xf numFmtId="0" fontId="69" fillId="0" borderId="17" xfId="3" applyFont="1" applyBorder="1" applyAlignment="1">
      <alignment horizontal="centerContinuous" vertical="center"/>
    </xf>
    <xf numFmtId="0" fontId="69" fillId="0" borderId="14" xfId="3" applyFont="1" applyBorder="1" applyAlignment="1">
      <alignment horizontal="centerContinuous" vertical="center"/>
    </xf>
    <xf numFmtId="0" fontId="69" fillId="0" borderId="0" xfId="4" applyFont="1" applyAlignment="1">
      <alignment vertical="center"/>
    </xf>
    <xf numFmtId="0" fontId="0" fillId="0" borderId="99" xfId="0" applyBorder="1" applyAlignment="1"/>
    <xf numFmtId="0" fontId="12" fillId="0" borderId="99" xfId="3" applyFont="1" applyBorder="1"/>
    <xf numFmtId="0" fontId="12" fillId="0" borderId="99" xfId="4" applyFont="1" applyBorder="1" applyAlignment="1">
      <alignment vertical="center"/>
    </xf>
    <xf numFmtId="0" fontId="69" fillId="0" borderId="99" xfId="2" applyFont="1" applyBorder="1" applyAlignment="1">
      <alignment vertical="center"/>
    </xf>
    <xf numFmtId="0" fontId="30" fillId="0" borderId="99" xfId="6" applyFont="1" applyAlignment="1">
      <alignment vertical="center"/>
    </xf>
    <xf numFmtId="0" fontId="30" fillId="0" borderId="99" xfId="6" applyFont="1" applyAlignment="1">
      <alignment horizontal="left"/>
    </xf>
    <xf numFmtId="0" fontId="29" fillId="0" borderId="99" xfId="6" applyFont="1"/>
    <xf numFmtId="0" fontId="33" fillId="0" borderId="99" xfId="6" applyFont="1"/>
    <xf numFmtId="0" fontId="29" fillId="0" borderId="99" xfId="6" applyFont="1" applyAlignment="1">
      <alignment vertical="center"/>
    </xf>
    <xf numFmtId="0" fontId="34" fillId="0" borderId="99" xfId="6" applyFont="1"/>
    <xf numFmtId="0" fontId="5" fillId="0" borderId="99" xfId="6" applyFont="1"/>
    <xf numFmtId="0" fontId="34" fillId="0" borderId="99" xfId="6" applyFont="1" applyAlignment="1">
      <alignment vertical="center"/>
    </xf>
    <xf numFmtId="0" fontId="28" fillId="0" borderId="99" xfId="6" applyFont="1" applyAlignment="1">
      <alignment vertical="center"/>
    </xf>
    <xf numFmtId="0" fontId="36" fillId="0" borderId="99" xfId="6" applyFont="1"/>
    <xf numFmtId="0" fontId="33" fillId="0" borderId="99" xfId="6" applyFont="1" applyAlignment="1">
      <alignment vertical="center"/>
    </xf>
    <xf numFmtId="0" fontId="23" fillId="5" borderId="6" xfId="6" applyFont="1" applyFill="1" applyBorder="1" applyAlignment="1">
      <alignment horizontal="center" vertical="center"/>
    </xf>
    <xf numFmtId="0" fontId="12" fillId="0" borderId="99" xfId="6" applyFont="1" applyAlignment="1">
      <alignment horizontal="center" vertical="center"/>
    </xf>
    <xf numFmtId="0" fontId="12" fillId="0" borderId="99" xfId="6" applyFont="1" applyAlignment="1">
      <alignment horizontal="center"/>
    </xf>
    <xf numFmtId="0" fontId="23" fillId="5" borderId="18" xfId="6" applyFont="1" applyFill="1" applyBorder="1" applyAlignment="1">
      <alignment horizontal="center" vertical="center"/>
    </xf>
    <xf numFmtId="0" fontId="23" fillId="5" borderId="18" xfId="6" applyFont="1" applyFill="1" applyBorder="1" applyAlignment="1">
      <alignment horizontal="center" vertical="center" shrinkToFit="1"/>
    </xf>
    <xf numFmtId="0" fontId="23" fillId="0" borderId="18" xfId="6" applyFont="1" applyBorder="1" applyAlignment="1">
      <alignment horizontal="center" vertical="center" shrinkToFit="1"/>
    </xf>
    <xf numFmtId="0" fontId="12" fillId="0" borderId="78" xfId="6" applyFont="1" applyBorder="1" applyAlignment="1">
      <alignment horizontal="center" vertical="center" shrinkToFit="1"/>
    </xf>
    <xf numFmtId="0" fontId="12" fillId="0" borderId="99" xfId="6" applyFont="1" applyAlignment="1">
      <alignment vertical="center"/>
    </xf>
    <xf numFmtId="0" fontId="12" fillId="0" borderId="99" xfId="6" applyFont="1"/>
    <xf numFmtId="0" fontId="17" fillId="0" borderId="18" xfId="6" applyFont="1" applyBorder="1" applyAlignment="1">
      <alignment horizontal="center" vertical="center" shrinkToFit="1"/>
    </xf>
    <xf numFmtId="0" fontId="17" fillId="0" borderId="18" xfId="6" applyFont="1" applyBorder="1" applyAlignment="1">
      <alignment horizontal="center" vertical="center"/>
    </xf>
    <xf numFmtId="0" fontId="16" fillId="0" borderId="78" xfId="6" applyFont="1" applyBorder="1" applyAlignment="1">
      <alignment horizontal="center" vertical="center" shrinkToFit="1"/>
    </xf>
    <xf numFmtId="0" fontId="37" fillId="0" borderId="99" xfId="6" applyFont="1" applyAlignment="1">
      <alignment vertical="center"/>
    </xf>
    <xf numFmtId="0" fontId="37" fillId="0" borderId="99" xfId="6" applyFont="1"/>
    <xf numFmtId="0" fontId="37" fillId="0" borderId="78" xfId="6" applyFont="1" applyBorder="1" applyAlignment="1">
      <alignment horizontal="center" vertical="center" shrinkToFit="1"/>
    </xf>
    <xf numFmtId="0" fontId="38" fillId="0" borderId="99" xfId="6" applyFont="1" applyAlignment="1">
      <alignment vertical="center"/>
    </xf>
    <xf numFmtId="0" fontId="39" fillId="0" borderId="18" xfId="6" applyFont="1" applyBorder="1" applyAlignment="1">
      <alignment horizontal="center" vertical="center" shrinkToFit="1"/>
    </xf>
    <xf numFmtId="0" fontId="31" fillId="0" borderId="78" xfId="6" applyFont="1" applyBorder="1" applyAlignment="1">
      <alignment horizontal="center" vertical="center" shrinkToFit="1"/>
    </xf>
    <xf numFmtId="0" fontId="17" fillId="0" borderId="18" xfId="6" quotePrefix="1" applyFont="1" applyBorder="1" applyAlignment="1">
      <alignment horizontal="center" vertical="center" shrinkToFit="1"/>
    </xf>
    <xf numFmtId="0" fontId="17" fillId="4" borderId="18" xfId="6" quotePrefix="1" applyFont="1" applyFill="1" applyBorder="1" applyAlignment="1">
      <alignment horizontal="center" vertical="center" shrinkToFit="1"/>
    </xf>
    <xf numFmtId="0" fontId="23" fillId="4" borderId="18" xfId="6" applyFont="1" applyFill="1" applyBorder="1" applyAlignment="1">
      <alignment horizontal="center" vertical="center" shrinkToFit="1"/>
    </xf>
    <xf numFmtId="0" fontId="12" fillId="0" borderId="18" xfId="6" applyFont="1" applyBorder="1" applyAlignment="1">
      <alignment horizontal="center" vertical="center" shrinkToFit="1"/>
    </xf>
    <xf numFmtId="0" fontId="12" fillId="0" borderId="23" xfId="6" applyFont="1" applyBorder="1" applyAlignment="1">
      <alignment vertical="center" shrinkToFit="1"/>
    </xf>
    <xf numFmtId="0" fontId="12" fillId="0" borderId="81" xfId="6" applyFont="1" applyBorder="1" applyAlignment="1">
      <alignment vertical="center" shrinkToFit="1"/>
    </xf>
    <xf numFmtId="0" fontId="23" fillId="0" borderId="20" xfId="6" applyFont="1" applyBorder="1" applyAlignment="1">
      <alignment horizontal="center" vertical="center" shrinkToFit="1"/>
    </xf>
    <xf numFmtId="0" fontId="13" fillId="0" borderId="39" xfId="6" applyFont="1" applyBorder="1" applyAlignment="1">
      <alignment horizontal="center" vertical="center" shrinkToFit="1"/>
    </xf>
    <xf numFmtId="0" fontId="5" fillId="0" borderId="99" xfId="6" applyFont="1" applyAlignment="1">
      <alignment vertical="center"/>
    </xf>
    <xf numFmtId="0" fontId="39" fillId="0" borderId="18" xfId="6" quotePrefix="1" applyFont="1" applyBorder="1" applyAlignment="1">
      <alignment horizontal="center" vertical="center" shrinkToFit="1"/>
    </xf>
    <xf numFmtId="0" fontId="17" fillId="4" borderId="18" xfId="6" applyFont="1" applyFill="1" applyBorder="1" applyAlignment="1">
      <alignment horizontal="center" vertical="center" shrinkToFit="1"/>
    </xf>
    <xf numFmtId="0" fontId="23" fillId="0" borderId="18" xfId="6" quotePrefix="1" applyFont="1" applyBorder="1" applyAlignment="1">
      <alignment horizontal="center" vertical="center" shrinkToFit="1"/>
    </xf>
    <xf numFmtId="0" fontId="23" fillId="4" borderId="18" xfId="6" quotePrefix="1" applyFont="1" applyFill="1" applyBorder="1" applyAlignment="1">
      <alignment horizontal="center" vertical="center" shrinkToFit="1"/>
    </xf>
    <xf numFmtId="0" fontId="28" fillId="0" borderId="0" xfId="3" applyFont="1" applyAlignment="1">
      <alignment vertical="center"/>
    </xf>
    <xf numFmtId="0" fontId="31" fillId="0" borderId="99" xfId="6" applyFont="1" applyAlignment="1">
      <alignment horizontal="center" vertical="center"/>
    </xf>
    <xf numFmtId="0" fontId="16" fillId="0" borderId="99" xfId="6" applyFont="1" applyAlignment="1">
      <alignment horizontal="center" vertical="center"/>
    </xf>
    <xf numFmtId="0" fontId="35" fillId="0" borderId="99" xfId="6" applyFont="1" applyAlignment="1">
      <alignment vertical="center"/>
    </xf>
    <xf numFmtId="0" fontId="43" fillId="0" borderId="0" xfId="2" applyFont="1" applyAlignment="1">
      <alignment horizontal="left" vertical="center"/>
    </xf>
    <xf numFmtId="0" fontId="45" fillId="0" borderId="0" xfId="2" applyFont="1"/>
    <xf numFmtId="0" fontId="10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54" fillId="0" borderId="22" xfId="5" applyFont="1" applyBorder="1" applyAlignment="1">
      <alignment horizontal="center" vertical="center"/>
    </xf>
    <xf numFmtId="0" fontId="0" fillId="0" borderId="19" xfId="0" applyBorder="1" applyAlignment="1"/>
    <xf numFmtId="0" fontId="54" fillId="2" borderId="22" xfId="5" applyFont="1" applyFill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0" fillId="0" borderId="71" xfId="0" applyBorder="1" applyAlignment="1"/>
    <xf numFmtId="0" fontId="0" fillId="0" borderId="4" xfId="0" applyBorder="1" applyAlignment="1"/>
    <xf numFmtId="0" fontId="12" fillId="0" borderId="72" xfId="2" applyFont="1" applyBorder="1" applyAlignment="1">
      <alignment horizontal="center" vertical="center"/>
    </xf>
    <xf numFmtId="0" fontId="0" fillId="0" borderId="42" xfId="0" applyBorder="1" applyAlignment="1"/>
    <xf numFmtId="0" fontId="0" fillId="0" borderId="53" xfId="0" applyBorder="1" applyAlignment="1"/>
    <xf numFmtId="0" fontId="12" fillId="0" borderId="28" xfId="2" applyFont="1" applyBorder="1" applyAlignment="1">
      <alignment horizontal="center" vertical="center"/>
    </xf>
    <xf numFmtId="0" fontId="0" fillId="0" borderId="44" xfId="0" applyBorder="1" applyAlignment="1"/>
    <xf numFmtId="0" fontId="23" fillId="5" borderId="29" xfId="2" applyFont="1" applyFill="1" applyBorder="1" applyAlignment="1">
      <alignment horizontal="center" vertical="center"/>
    </xf>
    <xf numFmtId="0" fontId="0" fillId="0" borderId="69" xfId="0" applyBorder="1" applyAlignment="1"/>
    <xf numFmtId="0" fontId="12" fillId="0" borderId="44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/>
    </xf>
    <xf numFmtId="0" fontId="23" fillId="5" borderId="30" xfId="2" applyFont="1" applyFill="1" applyBorder="1" applyAlignment="1">
      <alignment horizontal="center" vertical="center"/>
    </xf>
    <xf numFmtId="0" fontId="0" fillId="0" borderId="67" xfId="0" applyBorder="1" applyAlignment="1"/>
    <xf numFmtId="0" fontId="0" fillId="0" borderId="35" xfId="0" applyBorder="1" applyAlignment="1"/>
    <xf numFmtId="0" fontId="0" fillId="0" borderId="68" xfId="0" applyBorder="1" applyAlignment="1"/>
    <xf numFmtId="0" fontId="0" fillId="0" borderId="10" xfId="0" applyBorder="1" applyAlignment="1"/>
    <xf numFmtId="0" fontId="12" fillId="0" borderId="5" xfId="2" applyFont="1" applyBorder="1" applyAlignment="1">
      <alignment horizontal="center" vertical="center" wrapText="1"/>
    </xf>
    <xf numFmtId="0" fontId="73" fillId="0" borderId="100" xfId="2" applyFont="1" applyBorder="1" applyAlignment="1">
      <alignment horizontal="center" vertical="center"/>
    </xf>
    <xf numFmtId="0" fontId="72" fillId="0" borderId="100" xfId="2" applyFont="1" applyBorder="1" applyAlignment="1">
      <alignment horizontal="center" vertical="center"/>
    </xf>
    <xf numFmtId="0" fontId="71" fillId="0" borderId="100" xfId="2" applyFont="1" applyBorder="1" applyAlignment="1">
      <alignment horizontal="center" vertical="center"/>
    </xf>
    <xf numFmtId="0" fontId="28" fillId="0" borderId="100" xfId="2" applyFont="1" applyBorder="1" applyAlignment="1">
      <alignment horizontal="center" vertical="center"/>
    </xf>
    <xf numFmtId="0" fontId="14" fillId="0" borderId="18" xfId="3" applyFont="1" applyBorder="1" applyAlignment="1">
      <alignment horizontal="center" vertical="center" shrinkToFit="1"/>
    </xf>
    <xf numFmtId="0" fontId="0" fillId="0" borderId="17" xfId="0" applyBorder="1" applyAlignment="1"/>
    <xf numFmtId="0" fontId="23" fillId="0" borderId="18" xfId="3" applyFont="1" applyBorder="1" applyAlignment="1">
      <alignment horizontal="center" vertical="center" shrinkToFit="1"/>
    </xf>
    <xf numFmtId="0" fontId="23" fillId="5" borderId="18" xfId="3" quotePrefix="1" applyFont="1" applyFill="1" applyBorder="1" applyAlignment="1">
      <alignment horizontal="center" vertical="center" shrinkToFit="1"/>
    </xf>
    <xf numFmtId="0" fontId="24" fillId="0" borderId="18" xfId="3" applyFont="1" applyBorder="1" applyAlignment="1">
      <alignment horizontal="center" vertical="center" shrinkToFit="1"/>
    </xf>
    <xf numFmtId="0" fontId="17" fillId="0" borderId="18" xfId="3" applyFont="1" applyBorder="1" applyAlignment="1">
      <alignment horizontal="center" vertical="center" shrinkToFit="1"/>
    </xf>
    <xf numFmtId="0" fontId="11" fillId="0" borderId="18" xfId="2" applyBorder="1" applyAlignment="1">
      <alignment horizontal="center" vertical="center"/>
    </xf>
    <xf numFmtId="0" fontId="25" fillId="0" borderId="18" xfId="3" applyFont="1" applyBorder="1" applyAlignment="1">
      <alignment horizontal="center" vertical="center" shrinkToFit="1"/>
    </xf>
    <xf numFmtId="0" fontId="12" fillId="0" borderId="18" xfId="3" applyFont="1" applyBorder="1" applyAlignment="1">
      <alignment horizontal="center" vertical="center" wrapText="1"/>
    </xf>
    <xf numFmtId="0" fontId="0" fillId="0" borderId="26" xfId="0" applyBorder="1" applyAlignment="1"/>
    <xf numFmtId="0" fontId="0" fillId="0" borderId="25" xfId="0" applyBorder="1" applyAlignment="1"/>
    <xf numFmtId="0" fontId="23" fillId="5" borderId="18" xfId="3" applyFont="1" applyFill="1" applyBorder="1" applyAlignment="1">
      <alignment horizontal="center" vertical="center" shrinkToFit="1"/>
    </xf>
    <xf numFmtId="0" fontId="22" fillId="0" borderId="18" xfId="3" applyFont="1" applyBorder="1" applyAlignment="1">
      <alignment horizontal="center" vertical="center" shrinkToFit="1"/>
    </xf>
    <xf numFmtId="0" fontId="17" fillId="0" borderId="20" xfId="3" applyFont="1" applyBorder="1" applyAlignment="1">
      <alignment horizontal="center" vertical="center" shrinkToFit="1"/>
    </xf>
    <xf numFmtId="0" fontId="23" fillId="5" borderId="6" xfId="3" applyFont="1" applyFill="1" applyBorder="1" applyAlignment="1">
      <alignment horizontal="center" vertical="center"/>
    </xf>
    <xf numFmtId="0" fontId="0" fillId="0" borderId="74" xfId="0" applyBorder="1" applyAlignment="1"/>
    <xf numFmtId="0" fontId="16" fillId="0" borderId="18" xfId="3" applyFont="1" applyBorder="1" applyAlignment="1">
      <alignment horizontal="center" vertical="center"/>
    </xf>
    <xf numFmtId="0" fontId="16" fillId="0" borderId="78" xfId="3" applyFont="1" applyBorder="1" applyAlignment="1">
      <alignment horizontal="center" vertical="center"/>
    </xf>
    <xf numFmtId="0" fontId="0" fillId="0" borderId="79" xfId="0" applyBorder="1" applyAlignment="1"/>
    <xf numFmtId="0" fontId="12" fillId="0" borderId="18" xfId="3" applyFont="1" applyBorder="1" applyAlignment="1">
      <alignment horizontal="center" vertical="center"/>
    </xf>
    <xf numFmtId="0" fontId="12" fillId="0" borderId="18" xfId="3" applyFont="1" applyBorder="1" applyAlignment="1">
      <alignment horizontal="center" vertical="center" shrinkToFit="1"/>
    </xf>
    <xf numFmtId="0" fontId="23" fillId="5" borderId="36" xfId="3" applyFont="1" applyFill="1" applyBorder="1" applyAlignment="1">
      <alignment horizontal="center" vertical="center"/>
    </xf>
    <xf numFmtId="0" fontId="0" fillId="0" borderId="73" xfId="0" applyBorder="1" applyAlignment="1"/>
    <xf numFmtId="0" fontId="23" fillId="5" borderId="6" xfId="3" applyFont="1" applyFill="1" applyBorder="1" applyAlignment="1">
      <alignment horizontal="center" vertical="center" shrinkToFit="1"/>
    </xf>
    <xf numFmtId="0" fontId="0" fillId="0" borderId="75" xfId="0" applyBorder="1" applyAlignment="1"/>
    <xf numFmtId="0" fontId="0" fillId="0" borderId="76" xfId="0" applyBorder="1" applyAlignment="1"/>
    <xf numFmtId="0" fontId="12" fillId="0" borderId="15" xfId="3" applyFont="1" applyBorder="1" applyAlignment="1">
      <alignment horizontal="center" vertical="center" textRotation="255" wrapText="1"/>
    </xf>
    <xf numFmtId="0" fontId="0" fillId="0" borderId="77" xfId="0" applyBorder="1" applyAlignment="1"/>
    <xf numFmtId="0" fontId="0" fillId="0" borderId="33" xfId="0" applyBorder="1" applyAlignment="1"/>
    <xf numFmtId="0" fontId="70" fillId="0" borderId="18" xfId="3" applyFont="1" applyBorder="1" applyAlignment="1">
      <alignment horizontal="center" vertical="center" shrinkToFit="1"/>
    </xf>
    <xf numFmtId="0" fontId="12" fillId="0" borderId="15" xfId="3" applyFont="1" applyBorder="1" applyAlignment="1">
      <alignment horizontal="center" vertical="center" wrapText="1" readingOrder="2"/>
    </xf>
    <xf numFmtId="0" fontId="0" fillId="0" borderId="80" xfId="0" applyBorder="1" applyAlignment="1"/>
    <xf numFmtId="0" fontId="0" fillId="0" borderId="70" xfId="0" applyBorder="1" applyAlignment="1"/>
    <xf numFmtId="0" fontId="0" fillId="0" borderId="82" xfId="0" applyBorder="1" applyAlignment="1"/>
    <xf numFmtId="0" fontId="0" fillId="0" borderId="13" xfId="0" applyBorder="1" applyAlignment="1"/>
    <xf numFmtId="0" fontId="0" fillId="0" borderId="83" xfId="0" applyBorder="1" applyAlignment="1"/>
    <xf numFmtId="0" fontId="20" fillId="0" borderId="18" xfId="3" applyFont="1" applyBorder="1" applyAlignment="1">
      <alignment horizontal="center" vertical="center" shrinkToFit="1"/>
    </xf>
    <xf numFmtId="0" fontId="14" fillId="0" borderId="20" xfId="3" applyFont="1" applyBorder="1" applyAlignment="1">
      <alignment horizontal="center" vertical="center" shrinkToFit="1"/>
    </xf>
    <xf numFmtId="0" fontId="23" fillId="0" borderId="18" xfId="3" applyFont="1" applyBorder="1" applyAlignment="1">
      <alignment horizontal="center" vertical="center"/>
    </xf>
    <xf numFmtId="0" fontId="12" fillId="0" borderId="78" xfId="3" applyFont="1" applyBorder="1" applyAlignment="1">
      <alignment horizontal="center" vertical="center"/>
    </xf>
    <xf numFmtId="0" fontId="21" fillId="0" borderId="18" xfId="3" applyFont="1" applyBorder="1" applyAlignment="1">
      <alignment horizontal="left" vertical="center"/>
    </xf>
    <xf numFmtId="0" fontId="18" fillId="0" borderId="18" xfId="3" applyFont="1" applyBorder="1" applyAlignment="1">
      <alignment horizontal="left" vertical="center"/>
    </xf>
    <xf numFmtId="0" fontId="15" fillId="0" borderId="20" xfId="3" applyFont="1" applyBorder="1" applyAlignment="1">
      <alignment horizontal="left" vertical="center"/>
    </xf>
    <xf numFmtId="0" fontId="0" fillId="0" borderId="81" xfId="0" applyBorder="1" applyAlignment="1"/>
    <xf numFmtId="0" fontId="15" fillId="0" borderId="18" xfId="3" applyFont="1" applyBorder="1" applyAlignment="1">
      <alignment horizontal="left" vertical="center"/>
    </xf>
    <xf numFmtId="0" fontId="12" fillId="0" borderId="15" xfId="3" applyFont="1" applyBorder="1" applyAlignment="1">
      <alignment horizontal="center" vertical="center" textRotation="255"/>
    </xf>
    <xf numFmtId="0" fontId="16" fillId="0" borderId="88" xfId="2" applyFont="1" applyBorder="1" applyAlignment="1">
      <alignment horizontal="left" vertical="center" shrinkToFit="1"/>
    </xf>
    <xf numFmtId="0" fontId="0" fillId="0" borderId="46" xfId="0" applyBorder="1" applyAlignment="1"/>
    <xf numFmtId="0" fontId="16" fillId="0" borderId="96" xfId="2" applyFont="1" applyBorder="1" applyAlignment="1">
      <alignment horizontal="left" vertical="center" shrinkToFit="1"/>
    </xf>
    <xf numFmtId="0" fontId="0" fillId="0" borderId="97" xfId="0" applyBorder="1" applyAlignment="1"/>
    <xf numFmtId="0" fontId="0" fillId="0" borderId="8" xfId="0" applyBorder="1" applyAlignment="1"/>
    <xf numFmtId="0" fontId="12" fillId="0" borderId="72" xfId="2" applyFont="1" applyBorder="1" applyAlignment="1">
      <alignment horizontal="center" vertical="center" wrapText="1" readingOrder="1"/>
    </xf>
    <xf numFmtId="0" fontId="12" fillId="0" borderId="89" xfId="2" applyFont="1" applyBorder="1" applyAlignment="1">
      <alignment horizontal="left" vertical="center" shrinkToFit="1"/>
    </xf>
    <xf numFmtId="0" fontId="0" fillId="0" borderId="90" xfId="0" applyBorder="1" applyAlignment="1"/>
    <xf numFmtId="0" fontId="12" fillId="0" borderId="61" xfId="2" applyFont="1" applyBorder="1" applyAlignment="1">
      <alignment horizontal="left" vertical="center" shrinkToFit="1"/>
    </xf>
    <xf numFmtId="0" fontId="0" fillId="0" borderId="41" xfId="0" applyBorder="1" applyAlignment="1"/>
    <xf numFmtId="0" fontId="31" fillId="0" borderId="61" xfId="2" applyFont="1" applyBorder="1" applyAlignment="1">
      <alignment horizontal="left" vertical="center" shrinkToFit="1"/>
    </xf>
    <xf numFmtId="0" fontId="12" fillId="0" borderId="44" xfId="2" applyFont="1" applyBorder="1" applyAlignment="1">
      <alignment horizontal="center" vertical="center" textRotation="255"/>
    </xf>
    <xf numFmtId="0" fontId="12" fillId="0" borderId="86" xfId="2" applyFont="1" applyBorder="1" applyAlignment="1">
      <alignment horizontal="center" vertical="center" wrapText="1"/>
    </xf>
    <xf numFmtId="0" fontId="0" fillId="0" borderId="87" xfId="0" applyBorder="1" applyAlignment="1"/>
    <xf numFmtId="0" fontId="16" fillId="0" borderId="89" xfId="2" applyFont="1" applyBorder="1" applyAlignment="1">
      <alignment horizontal="left" vertical="center" shrinkToFit="1"/>
    </xf>
    <xf numFmtId="0" fontId="23" fillId="5" borderId="58" xfId="2" applyFont="1" applyFill="1" applyBorder="1" applyAlignment="1">
      <alignment horizontal="center" vertical="center"/>
    </xf>
    <xf numFmtId="0" fontId="0" fillId="0" borderId="43" xfId="0" applyBorder="1" applyAlignment="1"/>
    <xf numFmtId="0" fontId="0" fillId="0" borderId="45" xfId="0" applyBorder="1" applyAlignment="1"/>
    <xf numFmtId="0" fontId="23" fillId="5" borderId="84" xfId="2" applyFont="1" applyFill="1" applyBorder="1" applyAlignment="1">
      <alignment horizontal="center" vertical="center"/>
    </xf>
    <xf numFmtId="0" fontId="0" fillId="0" borderId="9" xfId="0" applyBorder="1" applyAlignment="1"/>
    <xf numFmtId="0" fontId="0" fillId="0" borderId="85" xfId="0" applyBorder="1" applyAlignment="1"/>
    <xf numFmtId="0" fontId="12" fillId="0" borderId="88" xfId="2" applyFont="1" applyBorder="1" applyAlignment="1">
      <alignment horizontal="left" vertical="center" shrinkToFit="1"/>
    </xf>
    <xf numFmtId="0" fontId="16" fillId="0" borderId="4" xfId="2" applyFont="1" applyBorder="1" applyAlignment="1">
      <alignment horizontal="left" vertical="center" shrinkToFit="1"/>
    </xf>
    <xf numFmtId="0" fontId="0" fillId="0" borderId="11" xfId="0" applyBorder="1" applyAlignment="1"/>
    <xf numFmtId="0" fontId="31" fillId="0" borderId="89" xfId="2" applyFont="1" applyBorder="1" applyAlignment="1">
      <alignment horizontal="left" vertical="center" shrinkToFit="1"/>
    </xf>
    <xf numFmtId="0" fontId="31" fillId="0" borderId="88" xfId="2" applyFont="1" applyBorder="1" applyAlignment="1">
      <alignment horizontal="left" vertical="center" shrinkToFit="1"/>
    </xf>
    <xf numFmtId="0" fontId="12" fillId="0" borderId="91" xfId="2" applyFont="1" applyBorder="1" applyAlignment="1">
      <alignment horizontal="center" vertical="center" wrapText="1"/>
    </xf>
    <xf numFmtId="0" fontId="0" fillId="0" borderId="7" xfId="0" applyBorder="1" applyAlignment="1"/>
    <xf numFmtId="0" fontId="0" fillId="0" borderId="92" xfId="0" applyBorder="1" applyAlignment="1"/>
    <xf numFmtId="0" fontId="0" fillId="0" borderId="12" xfId="0" applyBorder="1" applyAlignment="1"/>
    <xf numFmtId="0" fontId="12" fillId="0" borderId="54" xfId="2" applyFont="1" applyBorder="1" applyAlignment="1">
      <alignment horizontal="left" vertical="center" shrinkToFit="1"/>
    </xf>
    <xf numFmtId="0" fontId="0" fillId="0" borderId="55" xfId="0" applyBorder="1" applyAlignment="1"/>
    <xf numFmtId="0" fontId="12" fillId="0" borderId="28" xfId="2" applyFont="1" applyBorder="1" applyAlignment="1">
      <alignment horizontal="center" vertical="center" textRotation="255"/>
    </xf>
    <xf numFmtId="0" fontId="16" fillId="0" borderId="61" xfId="2" applyFont="1" applyBorder="1" applyAlignment="1">
      <alignment horizontal="left" vertical="center" shrinkToFit="1"/>
    </xf>
    <xf numFmtId="0" fontId="31" fillId="0" borderId="93" xfId="2" applyFont="1" applyBorder="1" applyAlignment="1">
      <alignment horizontal="left" vertical="center" shrinkToFit="1"/>
    </xf>
    <xf numFmtId="0" fontId="0" fillId="0" borderId="3" xfId="0" applyBorder="1" applyAlignment="1"/>
    <xf numFmtId="0" fontId="4" fillId="0" borderId="86" xfId="2" applyFont="1" applyBorder="1" applyAlignment="1">
      <alignment horizontal="center" vertical="center" wrapText="1"/>
    </xf>
    <xf numFmtId="0" fontId="12" fillId="0" borderId="10" xfId="2" applyFont="1" applyBorder="1" applyAlignment="1">
      <alignment horizontal="center" vertical="center"/>
    </xf>
    <xf numFmtId="0" fontId="12" fillId="0" borderId="94" xfId="2" applyFont="1" applyBorder="1" applyAlignment="1">
      <alignment horizontal="center" vertical="center" wrapText="1"/>
    </xf>
    <xf numFmtId="0" fontId="0" fillId="0" borderId="95" xfId="0" applyBorder="1" applyAlignment="1"/>
    <xf numFmtId="0" fontId="12" fillId="0" borderId="86" xfId="2" applyFont="1" applyBorder="1" applyAlignment="1">
      <alignment horizontal="center" vertical="center" wrapText="1" readingOrder="1"/>
    </xf>
    <xf numFmtId="0" fontId="12" fillId="0" borderId="8" xfId="2" applyFont="1" applyBorder="1" applyAlignment="1">
      <alignment horizontal="center" vertical="center" wrapText="1" readingOrder="1"/>
    </xf>
    <xf numFmtId="0" fontId="71" fillId="0" borderId="99" xfId="6" applyFont="1" applyAlignment="1">
      <alignment horizontal="center" vertical="center"/>
    </xf>
    <xf numFmtId="0" fontId="28" fillId="0" borderId="99" xfId="6" applyFont="1" applyAlignment="1">
      <alignment horizontal="center" vertical="center"/>
    </xf>
    <xf numFmtId="0" fontId="23" fillId="5" borderId="1" xfId="2" applyFont="1" applyFill="1" applyBorder="1" applyAlignment="1">
      <alignment horizontal="center" vertical="center" shrinkToFit="1"/>
    </xf>
    <xf numFmtId="0" fontId="0" fillId="0" borderId="98" xfId="0" applyBorder="1" applyAlignment="1"/>
    <xf numFmtId="0" fontId="0" fillId="0" borderId="2" xfId="0" applyBorder="1" applyAlignment="1"/>
    <xf numFmtId="0" fontId="23" fillId="5" borderId="1" xfId="2" applyFont="1" applyFill="1" applyBorder="1" applyAlignment="1">
      <alignment horizontal="center" vertical="center"/>
    </xf>
    <xf numFmtId="0" fontId="23" fillId="5" borderId="36" xfId="6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horizontal="center" vertical="center"/>
    </xf>
    <xf numFmtId="0" fontId="23" fillId="5" borderId="6" xfId="6" applyFont="1" applyFill="1" applyBorder="1" applyAlignment="1">
      <alignment horizontal="center" vertical="center"/>
    </xf>
    <xf numFmtId="0" fontId="23" fillId="5" borderId="18" xfId="6" applyFont="1" applyFill="1" applyBorder="1" applyAlignment="1">
      <alignment horizontal="center" vertical="center"/>
    </xf>
    <xf numFmtId="0" fontId="23" fillId="5" borderId="37" xfId="6" applyFont="1" applyFill="1" applyBorder="1" applyAlignment="1">
      <alignment horizontal="center" vertical="center"/>
    </xf>
    <xf numFmtId="0" fontId="23" fillId="5" borderId="78" xfId="6" applyFont="1" applyFill="1" applyBorder="1" applyAlignment="1">
      <alignment horizontal="center" vertical="center"/>
    </xf>
    <xf numFmtId="0" fontId="12" fillId="0" borderId="18" xfId="6" applyFont="1" applyBorder="1" applyAlignment="1">
      <alignment horizontal="left" vertical="center" shrinkToFit="1"/>
    </xf>
    <xf numFmtId="0" fontId="4" fillId="0" borderId="18" xfId="6" applyFont="1" applyBorder="1" applyAlignment="1">
      <alignment horizontal="center" vertical="center" wrapText="1"/>
    </xf>
    <xf numFmtId="0" fontId="4" fillId="0" borderId="18" xfId="6" applyFont="1" applyBorder="1" applyAlignment="1">
      <alignment horizontal="center" vertical="center"/>
    </xf>
    <xf numFmtId="0" fontId="16" fillId="0" borderId="18" xfId="6" applyFont="1" applyBorder="1" applyAlignment="1">
      <alignment horizontal="left" vertical="center" shrinkToFit="1"/>
    </xf>
    <xf numFmtId="0" fontId="12" fillId="0" borderId="18" xfId="6" applyFont="1" applyBorder="1" applyAlignment="1">
      <alignment horizontal="center" vertical="center" wrapText="1"/>
    </xf>
    <xf numFmtId="0" fontId="12" fillId="0" borderId="18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 textRotation="255"/>
    </xf>
    <xf numFmtId="0" fontId="31" fillId="0" borderId="18" xfId="6" applyFont="1" applyBorder="1" applyAlignment="1">
      <alignment horizontal="left" vertical="center" shrinkToFit="1"/>
    </xf>
    <xf numFmtId="0" fontId="12" fillId="0" borderId="15" xfId="6" applyFont="1" applyBorder="1" applyAlignment="1">
      <alignment horizontal="center" vertical="center" wrapText="1"/>
    </xf>
    <xf numFmtId="0" fontId="12" fillId="0" borderId="18" xfId="6" applyFont="1" applyBorder="1" applyAlignment="1">
      <alignment horizontal="center" vertical="center" wrapText="1" readingOrder="1"/>
    </xf>
    <xf numFmtId="0" fontId="12" fillId="0" borderId="15" xfId="6" applyFont="1" applyBorder="1" applyAlignment="1">
      <alignment horizontal="center" vertical="center" wrapText="1" readingOrder="1"/>
    </xf>
    <xf numFmtId="0" fontId="12" fillId="0" borderId="22" xfId="6" applyFont="1" applyBorder="1" applyAlignment="1">
      <alignment horizontal="center" vertical="center" wrapText="1" readingOrder="1"/>
    </xf>
    <xf numFmtId="0" fontId="12" fillId="0" borderId="20" xfId="6" applyFont="1" applyBorder="1" applyAlignment="1">
      <alignment horizontal="center" vertical="center" wrapText="1"/>
    </xf>
    <xf numFmtId="0" fontId="12" fillId="0" borderId="20" xfId="6" applyFont="1" applyBorder="1" applyAlignment="1">
      <alignment horizontal="left" vertical="center" shrinkToFit="1"/>
    </xf>
    <xf numFmtId="0" fontId="23" fillId="5" borderId="18" xfId="6" applyFont="1" applyFill="1" applyBorder="1" applyAlignment="1">
      <alignment horizontal="center" vertical="center" shrinkToFit="1"/>
    </xf>
    <xf numFmtId="0" fontId="12" fillId="0" borderId="99" xfId="6" applyFont="1" applyAlignment="1">
      <alignment horizontal="center" vertical="center" shrinkToFit="1"/>
    </xf>
    <xf numFmtId="0" fontId="31" fillId="0" borderId="99" xfId="6" applyFont="1" applyAlignment="1">
      <alignment horizontal="center" vertical="center" shrinkToFit="1"/>
    </xf>
    <xf numFmtId="0" fontId="16" fillId="0" borderId="99" xfId="6" applyFont="1" applyAlignment="1">
      <alignment horizontal="center" vertical="center" shrinkToFit="1"/>
    </xf>
  </cellXfs>
  <cellStyles count="7">
    <cellStyle name="표준" xfId="0" builtinId="0"/>
    <cellStyle name="표준 2" xfId="2" xr:uid="{00000000-0005-0000-0000-000002000000}"/>
    <cellStyle name="표준 2 2" xfId="3" xr:uid="{00000000-0005-0000-0000-000003000000}"/>
    <cellStyle name="표준 2 3" xfId="6" xr:uid="{60E4EE0D-826B-4FCB-9B1B-55AED85D344A}"/>
    <cellStyle name="표준 3" xfId="5" xr:uid="{00000000-0005-0000-0000-000005000000}"/>
    <cellStyle name="표준_0602점검결과보고서 2" xfId="4" xr:uid="{00000000-0005-0000-0000-000004000000}"/>
    <cellStyle name="표준_2007년03월근무계획표" xfId="1" xr:uid="{00000000-0005-0000-0000-000001000000}"/>
  </cellStyles>
  <dxfs count="16"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3" defaultTableStyle="TableStyleMedium9" defaultPivotStyle="PivotStyleLight16">
    <tableStyle name="Invisible" pivot="0" table="0" count="0" xr9:uid="{00000000-0011-0000-FFFF-FFFF00000000}"/>
    <tableStyle name="Normal Style 1 - Accent 1" pivot="0" count="7" xr9:uid="{00000000-0011-0000-FFFF-FFFF01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Light Style 1 - Accent 1" table="0" count="7" xr9:uid="{00000000-0011-0000-FFFF-FFFF02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21</xdr:row>
      <xdr:rowOff>0</xdr:rowOff>
    </xdr:from>
    <xdr:to>
      <xdr:col>4</xdr:col>
      <xdr:colOff>0</xdr:colOff>
      <xdr:row>22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7143" y="8890000"/>
          <a:ext cx="725714" cy="62895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456804</xdr:colOff>
      <xdr:row>27</xdr:row>
      <xdr:rowOff>13607</xdr:rowOff>
    </xdr:from>
    <xdr:to>
      <xdr:col>59</xdr:col>
      <xdr:colOff>445919</xdr:colOff>
      <xdr:row>45</xdr:row>
      <xdr:rowOff>13607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68847" y="10420350"/>
          <a:ext cx="5867401" cy="6858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N22"/>
  <sheetViews>
    <sheetView showGridLines="0" tabSelected="1" view="pageBreakPreview" zoomScale="90" zoomScaleSheetLayoutView="90" workbookViewId="0">
      <selection activeCell="L5" sqref="L5"/>
    </sheetView>
  </sheetViews>
  <sheetFormatPr defaultColWidth="10.23046875" defaultRowHeight="30" customHeight="1"/>
  <cols>
    <col min="1" max="11" width="10.23046875" style="124" customWidth="1"/>
    <col min="12" max="16384" width="10.23046875" style="124"/>
  </cols>
  <sheetData>
    <row r="4" spans="1:14" s="119" customFormat="1" ht="30" customHeight="1">
      <c r="A4" s="118" t="s">
        <v>0</v>
      </c>
      <c r="B4" s="118"/>
      <c r="C4" s="118"/>
      <c r="D4" s="118"/>
      <c r="E4" s="118"/>
      <c r="F4" s="118"/>
      <c r="G4" s="118"/>
      <c r="H4" s="118"/>
      <c r="I4" s="118"/>
      <c r="J4" s="118"/>
    </row>
    <row r="5" spans="1:14" s="122" customFormat="1" ht="60" customHeight="1">
      <c r="A5" s="120" t="s">
        <v>1</v>
      </c>
      <c r="B5" s="120"/>
      <c r="C5" s="120"/>
      <c r="D5" s="120"/>
      <c r="E5" s="120"/>
      <c r="F5" s="120"/>
      <c r="G5" s="120"/>
      <c r="H5" s="120"/>
      <c r="I5" s="120"/>
      <c r="J5" s="121"/>
      <c r="N5" s="123"/>
    </row>
    <row r="6" spans="1:14" ht="30" customHeight="1">
      <c r="B6" s="125"/>
      <c r="C6" s="125"/>
      <c r="D6" s="125"/>
      <c r="E6" s="125"/>
      <c r="F6" s="125"/>
      <c r="G6" s="125"/>
      <c r="H6" s="125"/>
    </row>
    <row r="7" spans="1:14" ht="30" customHeight="1">
      <c r="B7" s="125"/>
      <c r="C7" s="125"/>
      <c r="D7" s="125"/>
      <c r="E7" s="125"/>
      <c r="F7" s="125"/>
      <c r="G7" s="125"/>
      <c r="H7" s="125"/>
    </row>
    <row r="8" spans="1:14" ht="30" customHeight="1">
      <c r="B8" s="125"/>
      <c r="C8" s="125"/>
      <c r="D8" s="125"/>
      <c r="E8" s="125"/>
      <c r="F8" s="125"/>
      <c r="G8" s="125"/>
      <c r="H8" s="125"/>
    </row>
    <row r="14" spans="1:14" s="128" customFormat="1" ht="60" customHeight="1">
      <c r="A14" s="126">
        <v>46023</v>
      </c>
      <c r="B14" s="126"/>
      <c r="C14" s="126"/>
      <c r="D14" s="126"/>
      <c r="E14" s="126"/>
      <c r="F14" s="126"/>
      <c r="G14" s="126"/>
      <c r="H14" s="126"/>
      <c r="I14" s="126"/>
      <c r="J14" s="127"/>
    </row>
    <row r="15" spans="1:14" ht="30" customHeight="1">
      <c r="A15" s="129"/>
      <c r="B15" s="129"/>
      <c r="C15" s="129"/>
      <c r="D15" s="129"/>
      <c r="E15" s="129"/>
      <c r="F15" s="129"/>
      <c r="G15" s="129"/>
      <c r="H15" s="129"/>
      <c r="I15" s="129"/>
    </row>
    <row r="20" spans="1:10" ht="30" customHeight="1">
      <c r="A20" s="130"/>
      <c r="B20" s="130"/>
      <c r="C20" s="130"/>
      <c r="D20" s="130"/>
      <c r="E20" s="130"/>
      <c r="F20" s="130"/>
      <c r="G20" s="130"/>
      <c r="H20" s="130"/>
      <c r="I20" s="130"/>
    </row>
    <row r="21" spans="1:10" ht="30" customHeight="1">
      <c r="A21" s="130"/>
      <c r="B21" s="130"/>
      <c r="C21" s="130"/>
      <c r="D21" s="130"/>
      <c r="E21" s="130"/>
      <c r="F21" s="130"/>
      <c r="G21" s="130"/>
      <c r="H21" s="130"/>
      <c r="I21" s="130"/>
    </row>
    <row r="22" spans="1:10" ht="30" customHeight="1">
      <c r="A22" s="131"/>
      <c r="B22" s="131"/>
      <c r="C22" s="131"/>
      <c r="D22" s="131"/>
      <c r="E22" s="284" t="s">
        <v>2</v>
      </c>
      <c r="F22" s="285"/>
      <c r="G22" s="285"/>
      <c r="H22" s="285"/>
      <c r="I22" s="131"/>
      <c r="J22" s="131"/>
    </row>
  </sheetData>
  <mergeCells count="1">
    <mergeCell ref="E22:H22"/>
  </mergeCells>
  <phoneticPr fontId="2" type="noConversion"/>
  <printOptions horizontalCentered="1"/>
  <pageMargins left="0.39370078740157483" right="0.39370078740157483" top="0.78740157480314965" bottom="0.39370078740157483" header="0.39370078740157483" footer="0.3937007874015748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C11"/>
  <sheetViews>
    <sheetView showGridLines="0" view="pageBreakPreview" zoomScaleNormal="100" zoomScaleSheetLayoutView="100" workbookViewId="0">
      <selection activeCell="E2" sqref="E2"/>
    </sheetView>
  </sheetViews>
  <sheetFormatPr defaultColWidth="9" defaultRowHeight="14.15"/>
  <cols>
    <col min="1" max="1" width="12.61328125" style="1" customWidth="1"/>
    <col min="2" max="2" width="50.61328125" style="1" customWidth="1"/>
    <col min="3" max="3" width="25.61328125" style="1" customWidth="1"/>
    <col min="4" max="4" width="9" style="1" customWidth="1"/>
    <col min="5" max="16384" width="9" style="1"/>
  </cols>
  <sheetData>
    <row r="1" spans="1:3" ht="52.5" customHeight="1"/>
    <row r="2" spans="1:3" ht="46.5" customHeight="1">
      <c r="A2" s="288" t="s">
        <v>3</v>
      </c>
      <c r="B2" s="287"/>
      <c r="C2" s="287"/>
    </row>
    <row r="3" spans="1:3">
      <c r="A3" s="2"/>
      <c r="B3" s="2"/>
    </row>
    <row r="4" spans="1:3">
      <c r="A4" s="2"/>
      <c r="B4" s="2"/>
    </row>
    <row r="5" spans="1:3" ht="71.25" customHeight="1">
      <c r="A5" s="3"/>
      <c r="B5" s="286" t="s">
        <v>4</v>
      </c>
      <c r="C5" s="287"/>
    </row>
    <row r="6" spans="1:3" ht="71.25" customHeight="1">
      <c r="A6" s="3"/>
      <c r="B6" s="4" t="s">
        <v>5</v>
      </c>
    </row>
    <row r="7" spans="1:3" ht="71.25" customHeight="1">
      <c r="A7" s="3"/>
      <c r="B7" s="4" t="s">
        <v>6</v>
      </c>
    </row>
    <row r="8" spans="1:3" ht="71.25" customHeight="1">
      <c r="A8" s="3"/>
      <c r="B8" s="4"/>
    </row>
    <row r="9" spans="1:3" ht="71.25" customHeight="1">
      <c r="A9" s="3"/>
      <c r="B9" s="4"/>
    </row>
    <row r="10" spans="1:3" ht="71.25" customHeight="1">
      <c r="A10" s="3"/>
      <c r="B10" s="4"/>
    </row>
    <row r="11" spans="1:3">
      <c r="A11" s="2"/>
      <c r="B11" s="2"/>
    </row>
  </sheetData>
  <mergeCells count="2">
    <mergeCell ref="B5:C5"/>
    <mergeCell ref="A2:C2"/>
  </mergeCells>
  <phoneticPr fontId="2" type="noConversion"/>
  <printOptions horizontalCentered="1"/>
  <pageMargins left="0.59055118110236227" right="0.59055118110236227" top="0.78740157480314965" bottom="0.78740157480314965" header="0.39370078740157483" footer="0.3937007874015748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37"/>
  <sheetViews>
    <sheetView showGridLines="0" view="pageBreakPreview" zoomScale="80" zoomScaleNormal="100" zoomScaleSheetLayoutView="80" workbookViewId="0">
      <selection activeCell="A3" sqref="A3"/>
    </sheetView>
  </sheetViews>
  <sheetFormatPr defaultColWidth="9" defaultRowHeight="14.15"/>
  <cols>
    <col min="1" max="7" width="18.69140625" style="133" customWidth="1"/>
    <col min="8" max="8" width="9" style="133" customWidth="1"/>
    <col min="9" max="16384" width="9" style="133"/>
  </cols>
  <sheetData>
    <row r="1" spans="1:16" ht="50.05" customHeight="1">
      <c r="A1" s="132" t="s">
        <v>4</v>
      </c>
      <c r="B1" s="132"/>
      <c r="C1" s="132"/>
      <c r="D1" s="132"/>
      <c r="E1" s="132"/>
      <c r="F1" s="132"/>
      <c r="G1" s="132"/>
    </row>
    <row r="2" spans="1:16" ht="20.05" customHeight="1">
      <c r="A2" s="134"/>
      <c r="B2" s="134"/>
      <c r="C2" s="134"/>
      <c r="D2" s="134"/>
      <c r="E2" s="134"/>
      <c r="F2" s="134"/>
      <c r="G2" s="134"/>
    </row>
    <row r="3" spans="1:16" s="136" customFormat="1" ht="30" customHeight="1">
      <c r="A3" s="135" t="s">
        <v>7</v>
      </c>
      <c r="B3" s="135"/>
      <c r="C3" s="135"/>
      <c r="D3" s="135"/>
      <c r="E3" s="135"/>
      <c r="F3" s="135"/>
      <c r="G3" s="135"/>
    </row>
    <row r="4" spans="1:16" s="136" customFormat="1" ht="10" customHeight="1">
      <c r="A4" s="135"/>
      <c r="B4" s="135"/>
      <c r="C4" s="135"/>
      <c r="D4" s="135"/>
      <c r="E4" s="135"/>
      <c r="F4" s="135"/>
      <c r="G4" s="135"/>
    </row>
    <row r="5" spans="1:16" ht="30" customHeight="1">
      <c r="A5" s="137" t="s">
        <v>8</v>
      </c>
      <c r="B5" s="138" t="s">
        <v>9</v>
      </c>
      <c r="C5" s="138" t="s">
        <v>10</v>
      </c>
      <c r="D5" s="138" t="s">
        <v>11</v>
      </c>
      <c r="E5" s="138" t="s">
        <v>12</v>
      </c>
      <c r="F5" s="138" t="s">
        <v>13</v>
      </c>
      <c r="G5" s="139" t="s">
        <v>14</v>
      </c>
    </row>
    <row r="6" spans="1:16" ht="30" customHeight="1">
      <c r="A6" s="215"/>
      <c r="B6" s="216"/>
      <c r="C6" s="140"/>
      <c r="D6" s="140"/>
      <c r="E6" s="140"/>
      <c r="F6" s="140"/>
      <c r="G6" s="221"/>
      <c r="J6" s="201"/>
      <c r="K6" s="201"/>
      <c r="L6" s="201"/>
      <c r="M6" s="201"/>
      <c r="N6" s="201"/>
      <c r="O6" s="201"/>
      <c r="P6" s="201"/>
    </row>
    <row r="7" spans="1:16" ht="30" customHeight="1">
      <c r="A7" s="217"/>
      <c r="B7" s="218"/>
      <c r="C7" s="140"/>
      <c r="D7" s="140"/>
      <c r="E7" s="140"/>
      <c r="F7" s="140"/>
      <c r="G7" s="141"/>
      <c r="J7" s="202"/>
      <c r="K7" s="203"/>
      <c r="L7" s="203"/>
      <c r="M7" s="203"/>
      <c r="N7" s="203"/>
      <c r="O7" s="203"/>
      <c r="P7" s="204"/>
    </row>
    <row r="8" spans="1:16" ht="30" customHeight="1">
      <c r="A8" s="219"/>
      <c r="B8" s="220"/>
      <c r="C8" s="140"/>
      <c r="D8" s="140"/>
      <c r="E8" s="140"/>
      <c r="F8" s="140"/>
      <c r="G8" s="141"/>
      <c r="J8" s="205"/>
      <c r="K8" s="206"/>
      <c r="L8" s="206"/>
      <c r="M8" s="206"/>
      <c r="N8" s="206"/>
      <c r="O8" s="206"/>
      <c r="P8" s="207"/>
    </row>
    <row r="9" spans="1:16" ht="30" customHeight="1">
      <c r="A9" s="215"/>
      <c r="B9" s="216"/>
      <c r="C9" s="140"/>
      <c r="D9" s="140"/>
      <c r="E9" s="140"/>
      <c r="F9" s="140"/>
      <c r="G9" s="141"/>
      <c r="J9" s="205"/>
      <c r="K9" s="206"/>
      <c r="L9" s="206"/>
      <c r="M9" s="206"/>
      <c r="N9" s="206"/>
      <c r="O9" s="206"/>
      <c r="P9" s="207"/>
    </row>
    <row r="10" spans="1:16" ht="30" customHeight="1">
      <c r="A10" s="219"/>
      <c r="B10" s="220"/>
      <c r="C10" s="140"/>
      <c r="D10" s="140"/>
      <c r="E10" s="140"/>
      <c r="F10" s="140"/>
      <c r="G10" s="221"/>
      <c r="J10" s="205"/>
      <c r="K10" s="206"/>
      <c r="L10" s="206"/>
      <c r="M10" s="206"/>
      <c r="N10" s="206"/>
      <c r="O10" s="206"/>
      <c r="P10" s="207"/>
    </row>
    <row r="11" spans="1:16" ht="30" customHeight="1">
      <c r="A11" s="215"/>
      <c r="B11" s="216"/>
      <c r="C11" s="140"/>
      <c r="D11" s="140"/>
      <c r="E11" s="140"/>
      <c r="F11" s="140"/>
      <c r="G11" s="141"/>
      <c r="J11" s="205"/>
      <c r="K11" s="206"/>
      <c r="L11" s="206"/>
      <c r="M11" s="206"/>
      <c r="N11" s="206"/>
      <c r="O11" s="206"/>
      <c r="P11" s="207"/>
    </row>
    <row r="12" spans="1:16" ht="30" customHeight="1">
      <c r="A12" s="215"/>
      <c r="B12" s="216"/>
      <c r="C12" s="140"/>
      <c r="D12" s="140"/>
      <c r="E12" s="140"/>
      <c r="F12" s="140"/>
      <c r="G12" s="141"/>
      <c r="J12" s="205"/>
      <c r="K12" s="206"/>
      <c r="L12" s="206"/>
      <c r="M12" s="206"/>
      <c r="N12" s="206"/>
      <c r="O12" s="206"/>
      <c r="P12" s="208"/>
    </row>
    <row r="13" spans="1:16" ht="30" customHeight="1">
      <c r="A13" s="215"/>
      <c r="B13" s="216"/>
      <c r="C13" s="140"/>
      <c r="D13" s="140"/>
      <c r="E13" s="140"/>
      <c r="F13" s="140"/>
      <c r="G13" s="141"/>
      <c r="J13" s="196"/>
      <c r="K13" s="196"/>
      <c r="L13" s="196"/>
      <c r="M13" s="196"/>
      <c r="N13" s="196"/>
      <c r="O13" s="196"/>
      <c r="P13" s="196"/>
    </row>
    <row r="14" spans="1:16" ht="30" customHeight="1">
      <c r="A14" s="217"/>
      <c r="B14" s="218"/>
      <c r="C14" s="140"/>
      <c r="D14" s="140"/>
      <c r="E14" s="140"/>
      <c r="F14" s="140"/>
      <c r="G14" s="141"/>
    </row>
    <row r="15" spans="1:16" ht="30" customHeight="1">
      <c r="A15" s="219"/>
      <c r="B15" s="220"/>
      <c r="C15" s="140"/>
      <c r="D15" s="140"/>
      <c r="E15" s="140"/>
      <c r="F15" s="140"/>
      <c r="G15" s="141"/>
    </row>
    <row r="16" spans="1:16" ht="30" customHeight="1">
      <c r="A16" s="215"/>
      <c r="B16" s="216"/>
      <c r="C16" s="140"/>
      <c r="D16" s="140"/>
      <c r="E16" s="140"/>
      <c r="F16" s="140"/>
      <c r="G16" s="141"/>
    </row>
    <row r="17" spans="1:7" ht="30" customHeight="1">
      <c r="A17" s="215"/>
      <c r="B17" s="216"/>
      <c r="C17" s="140"/>
      <c r="D17" s="140"/>
      <c r="E17" s="140"/>
      <c r="F17" s="140"/>
      <c r="G17" s="141"/>
    </row>
    <row r="18" spans="1:7" ht="30" customHeight="1">
      <c r="A18" s="215"/>
      <c r="B18" s="216"/>
      <c r="C18" s="140"/>
      <c r="D18" s="140"/>
      <c r="E18" s="140"/>
      <c r="F18" s="140"/>
      <c r="G18" s="141"/>
    </row>
    <row r="19" spans="1:7" ht="30" customHeight="1">
      <c r="A19" s="215"/>
      <c r="B19" s="216"/>
      <c r="C19" s="140"/>
      <c r="D19" s="140"/>
      <c r="E19" s="140"/>
      <c r="F19" s="140"/>
      <c r="G19" s="141"/>
    </row>
    <row r="20" spans="1:7" ht="30" customHeight="1">
      <c r="A20" s="215"/>
      <c r="B20" s="216"/>
      <c r="C20" s="140"/>
      <c r="D20" s="140"/>
      <c r="E20" s="140"/>
      <c r="F20" s="140"/>
      <c r="G20" s="141"/>
    </row>
    <row r="21" spans="1:7" ht="30" customHeight="1">
      <c r="A21" s="217"/>
      <c r="B21" s="218"/>
      <c r="C21" s="140"/>
      <c r="D21" s="140"/>
      <c r="E21" s="140"/>
      <c r="F21" s="140"/>
      <c r="G21" s="141"/>
    </row>
    <row r="22" spans="1:7" ht="30" customHeight="1">
      <c r="A22" s="219"/>
      <c r="B22" s="220"/>
      <c r="C22" s="140"/>
      <c r="D22" s="140"/>
      <c r="E22" s="140"/>
      <c r="F22" s="140"/>
      <c r="G22" s="141"/>
    </row>
    <row r="23" spans="1:7" ht="30" customHeight="1">
      <c r="A23" s="215"/>
      <c r="B23" s="216"/>
      <c r="C23" s="140"/>
      <c r="D23" s="140"/>
      <c r="E23" s="140"/>
      <c r="F23" s="140"/>
      <c r="G23" s="141"/>
    </row>
    <row r="24" spans="1:7" ht="30" customHeight="1">
      <c r="A24" s="215"/>
      <c r="B24" s="216"/>
      <c r="C24" s="140"/>
      <c r="D24" s="140"/>
      <c r="E24" s="140"/>
      <c r="F24" s="140"/>
      <c r="G24" s="141"/>
    </row>
    <row r="25" spans="1:7" ht="30" customHeight="1">
      <c r="A25" s="215"/>
      <c r="B25" s="216"/>
      <c r="C25" s="140"/>
      <c r="D25" s="140"/>
      <c r="E25" s="140"/>
      <c r="F25" s="140"/>
      <c r="G25" s="141"/>
    </row>
    <row r="26" spans="1:7" ht="30" customHeight="1">
      <c r="A26" s="215"/>
      <c r="B26" s="216"/>
      <c r="C26" s="140"/>
      <c r="D26" s="140"/>
      <c r="E26" s="140"/>
      <c r="F26" s="140"/>
      <c r="G26" s="141"/>
    </row>
    <row r="27" spans="1:7" ht="30" customHeight="1">
      <c r="A27" s="215"/>
      <c r="B27" s="216"/>
      <c r="C27" s="140"/>
      <c r="D27" s="140"/>
      <c r="E27" s="140"/>
      <c r="F27" s="140"/>
      <c r="G27" s="141"/>
    </row>
    <row r="28" spans="1:7" ht="30" customHeight="1">
      <c r="A28" s="217"/>
      <c r="B28" s="218"/>
      <c r="C28" s="140"/>
      <c r="D28" s="140"/>
      <c r="E28" s="140"/>
      <c r="F28" s="140"/>
      <c r="G28" s="141"/>
    </row>
    <row r="29" spans="1:7" ht="30" customHeight="1">
      <c r="A29" s="219"/>
      <c r="B29" s="220"/>
      <c r="C29" s="140"/>
      <c r="D29" s="140"/>
      <c r="E29" s="140"/>
      <c r="F29" s="140"/>
      <c r="G29" s="221"/>
    </row>
    <row r="30" spans="1:7" ht="30" customHeight="1">
      <c r="A30" s="219"/>
      <c r="B30" s="220"/>
      <c r="C30" s="140"/>
      <c r="D30" s="140"/>
      <c r="E30" s="140"/>
      <c r="F30" s="140"/>
      <c r="G30" s="221"/>
    </row>
    <row r="31" spans="1:7" ht="30" customHeight="1">
      <c r="A31" s="215"/>
      <c r="B31" s="216"/>
      <c r="C31" s="140"/>
      <c r="D31" s="140"/>
      <c r="E31" s="140"/>
      <c r="F31" s="140"/>
      <c r="G31" s="141"/>
    </row>
    <row r="32" spans="1:7" ht="30" customHeight="1">
      <c r="A32" s="215"/>
      <c r="B32" s="216"/>
      <c r="C32" s="140"/>
      <c r="D32" s="140"/>
      <c r="E32" s="140"/>
      <c r="F32" s="140"/>
      <c r="G32" s="141"/>
    </row>
    <row r="33" spans="1:7" ht="30" customHeight="1">
      <c r="A33" s="215"/>
      <c r="B33" s="216"/>
      <c r="C33" s="140"/>
      <c r="D33" s="140"/>
      <c r="E33" s="140"/>
      <c r="F33" s="140"/>
      <c r="G33" s="141"/>
    </row>
    <row r="34" spans="1:7" ht="30" customHeight="1">
      <c r="A34" s="215"/>
      <c r="B34" s="216"/>
      <c r="C34" s="140"/>
      <c r="D34" s="140"/>
      <c r="E34" s="140"/>
      <c r="F34" s="140"/>
      <c r="G34" s="141"/>
    </row>
    <row r="35" spans="1:7" ht="30" customHeight="1">
      <c r="A35" s="217"/>
      <c r="B35" s="218"/>
      <c r="C35" s="140"/>
      <c r="D35" s="140"/>
      <c r="E35" s="140"/>
      <c r="F35" s="140"/>
      <c r="G35" s="141"/>
    </row>
    <row r="36" spans="1:7" ht="30" customHeight="1">
      <c r="A36" s="219"/>
      <c r="B36" s="220"/>
      <c r="C36" s="140"/>
      <c r="D36" s="140"/>
      <c r="E36" s="140"/>
      <c r="F36" s="140"/>
      <c r="G36" s="141"/>
    </row>
    <row r="37" spans="1:7" ht="30" customHeight="1">
      <c r="A37" s="289" t="s">
        <v>15</v>
      </c>
      <c r="B37" s="290"/>
      <c r="C37" s="142">
        <f>COUNTA(C6:C35)</f>
        <v>0</v>
      </c>
      <c r="D37" s="142">
        <f>COUNTA(D6:D35)</f>
        <v>0</v>
      </c>
      <c r="E37" s="142">
        <f>COUNTA(E6:E35)</f>
        <v>0</v>
      </c>
      <c r="F37" s="142">
        <f>COUNTA(F6:F35)</f>
        <v>0</v>
      </c>
      <c r="G37" s="143"/>
    </row>
  </sheetData>
  <mergeCells count="1">
    <mergeCell ref="A37:B37"/>
  </mergeCells>
  <phoneticPr fontId="2" type="noConversion"/>
  <conditionalFormatting sqref="C37:F37">
    <cfRule type="expression" dxfId="1" priority="3" stopIfTrue="1">
      <formula>IF($B37="일",ROW(#REF!),"")</formula>
    </cfRule>
  </conditionalFormatting>
  <printOptions horizontalCentered="1"/>
  <pageMargins left="0.39370078740157483" right="0.39370078740157483" top="0.78740157480314965" bottom="0.39370078740157483" header="0.39370078740157483" footer="0.39370078740157483"/>
  <pageSetup paperSize="9" scale="7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37"/>
  <sheetViews>
    <sheetView showGridLines="0" view="pageBreakPreview" zoomScale="80" zoomScaleNormal="100" zoomScaleSheetLayoutView="80" workbookViewId="0">
      <selection activeCell="I10" sqref="I10"/>
    </sheetView>
  </sheetViews>
  <sheetFormatPr defaultColWidth="9" defaultRowHeight="17.600000000000001"/>
  <cols>
    <col min="1" max="2" width="16.69140625" style="144" customWidth="1"/>
    <col min="3" max="7" width="20.69140625" style="144" customWidth="1"/>
    <col min="8" max="8" width="9.3828125" style="144" customWidth="1"/>
    <col min="9" max="9" width="9" style="144" customWidth="1"/>
    <col min="10" max="16384" width="9" style="144"/>
  </cols>
  <sheetData>
    <row r="1" spans="1:16" ht="50.05" customHeight="1"/>
    <row r="2" spans="1:16" ht="20.05" customHeight="1"/>
    <row r="3" spans="1:16" s="145" customFormat="1" ht="27" customHeight="1">
      <c r="A3" s="135" t="s">
        <v>16</v>
      </c>
      <c r="B3" s="135"/>
      <c r="C3" s="135"/>
      <c r="D3" s="135"/>
      <c r="E3" s="135"/>
      <c r="F3" s="135"/>
      <c r="G3" s="135"/>
    </row>
    <row r="4" spans="1:16" s="145" customFormat="1" ht="10" customHeight="1">
      <c r="A4" s="135"/>
      <c r="B4" s="135"/>
      <c r="C4" s="135"/>
      <c r="D4" s="135"/>
      <c r="E4" s="135"/>
      <c r="F4" s="135"/>
      <c r="G4" s="135"/>
    </row>
    <row r="5" spans="1:16" s="146" customFormat="1" ht="30" customHeight="1">
      <c r="A5" s="137" t="s">
        <v>8</v>
      </c>
      <c r="B5" s="138" t="s">
        <v>9</v>
      </c>
      <c r="C5" s="138" t="s">
        <v>17</v>
      </c>
      <c r="D5" s="138" t="s">
        <v>18</v>
      </c>
      <c r="E5" s="193" t="s">
        <v>19</v>
      </c>
      <c r="F5" s="193" t="s">
        <v>20</v>
      </c>
      <c r="G5" s="139" t="s">
        <v>14</v>
      </c>
    </row>
    <row r="6" spans="1:16" s="146" customFormat="1" ht="30" customHeight="1">
      <c r="A6" s="215"/>
      <c r="B6" s="216"/>
      <c r="C6" s="147"/>
      <c r="D6" s="147"/>
      <c r="E6" s="194"/>
      <c r="F6" s="194"/>
      <c r="G6" s="221"/>
      <c r="J6" s="201"/>
      <c r="K6"/>
      <c r="L6"/>
      <c r="M6"/>
      <c r="N6"/>
      <c r="O6"/>
      <c r="P6"/>
    </row>
    <row r="7" spans="1:16" s="146" customFormat="1" ht="30" customHeight="1">
      <c r="A7" s="217"/>
      <c r="B7" s="218"/>
      <c r="C7" s="147"/>
      <c r="D7" s="147"/>
      <c r="E7" s="194"/>
      <c r="F7" s="194"/>
      <c r="G7" s="222"/>
      <c r="J7" s="209"/>
      <c r="K7" s="210"/>
      <c r="L7" s="210"/>
      <c r="M7" s="210"/>
      <c r="N7" s="210"/>
      <c r="O7" s="210"/>
      <c r="P7" s="211"/>
    </row>
    <row r="8" spans="1:16" s="146" customFormat="1" ht="30" customHeight="1">
      <c r="A8" s="219"/>
      <c r="B8" s="220"/>
      <c r="C8" s="147"/>
      <c r="D8" s="147"/>
      <c r="E8" s="199"/>
      <c r="F8" s="199"/>
      <c r="G8" s="222"/>
      <c r="J8" s="212"/>
      <c r="K8" s="212"/>
      <c r="L8" s="212"/>
      <c r="M8" s="212"/>
      <c r="N8" s="212"/>
      <c r="O8" s="212"/>
      <c r="P8" s="213"/>
    </row>
    <row r="9" spans="1:16" s="146" customFormat="1" ht="30" customHeight="1">
      <c r="A9" s="215"/>
      <c r="B9" s="216"/>
      <c r="C9" s="147"/>
      <c r="D9" s="147"/>
      <c r="E9" s="194"/>
      <c r="F9" s="194"/>
      <c r="G9" s="223"/>
      <c r="J9" s="214"/>
      <c r="K9" s="212"/>
      <c r="L9" s="212"/>
      <c r="M9" s="212"/>
      <c r="N9" s="212"/>
      <c r="O9" s="212"/>
      <c r="P9" s="213"/>
    </row>
    <row r="10" spans="1:16" s="146" customFormat="1" ht="30" customHeight="1">
      <c r="A10" s="219"/>
      <c r="B10" s="220"/>
      <c r="C10" s="147"/>
      <c r="D10" s="147"/>
      <c r="E10" s="194"/>
      <c r="F10" s="194"/>
      <c r="G10" s="221"/>
      <c r="J10" s="214"/>
      <c r="K10" s="212"/>
      <c r="L10" s="212"/>
      <c r="M10" s="212"/>
      <c r="N10" s="212"/>
      <c r="O10" s="212"/>
      <c r="P10" s="213"/>
    </row>
    <row r="11" spans="1:16" s="146" customFormat="1" ht="30" customHeight="1">
      <c r="A11" s="215"/>
      <c r="B11" s="216"/>
      <c r="C11" s="147"/>
      <c r="D11" s="147"/>
      <c r="E11" s="199"/>
      <c r="F11" s="199"/>
      <c r="G11" s="223"/>
      <c r="J11" s="214"/>
      <c r="K11" s="212"/>
      <c r="L11" s="212"/>
      <c r="M11" s="212"/>
      <c r="N11" s="212"/>
      <c r="O11" s="212"/>
      <c r="P11" s="213"/>
    </row>
    <row r="12" spans="1:16" s="146" customFormat="1" ht="30" customHeight="1">
      <c r="A12" s="215"/>
      <c r="B12" s="216"/>
      <c r="C12" s="147"/>
      <c r="D12" s="147"/>
      <c r="E12" s="194"/>
      <c r="F12" s="198"/>
      <c r="G12" s="224"/>
      <c r="J12" s="214"/>
      <c r="K12" s="212"/>
      <c r="L12" s="212"/>
      <c r="M12" s="212"/>
      <c r="N12" s="212"/>
      <c r="O12" s="212"/>
      <c r="P12" s="212"/>
    </row>
    <row r="13" spans="1:16" s="146" customFormat="1" ht="30" customHeight="1">
      <c r="A13" s="215"/>
      <c r="B13" s="216"/>
      <c r="C13" s="147"/>
      <c r="D13" s="147"/>
      <c r="E13" s="194"/>
      <c r="F13" s="194"/>
      <c r="G13" s="224"/>
    </row>
    <row r="14" spans="1:16" s="146" customFormat="1" ht="30" customHeight="1">
      <c r="A14" s="217"/>
      <c r="B14" s="218"/>
      <c r="C14" s="147"/>
      <c r="D14" s="147"/>
      <c r="E14" s="194"/>
      <c r="F14" s="194"/>
      <c r="G14" s="222"/>
    </row>
    <row r="15" spans="1:16" s="146" customFormat="1" ht="30" customHeight="1">
      <c r="A15" s="219"/>
      <c r="B15" s="220"/>
      <c r="C15" s="147"/>
      <c r="D15" s="147"/>
      <c r="E15" s="199"/>
      <c r="F15" s="199"/>
      <c r="G15" s="222"/>
      <c r="J15" s="197" t="s">
        <v>21</v>
      </c>
      <c r="K15" s="197" t="s">
        <v>22</v>
      </c>
      <c r="L15" s="197"/>
      <c r="M15" s="197"/>
    </row>
    <row r="16" spans="1:16" s="146" customFormat="1" ht="30" customHeight="1">
      <c r="A16" s="215"/>
      <c r="B16" s="216"/>
      <c r="C16" s="147"/>
      <c r="D16" s="147"/>
      <c r="E16" s="194"/>
      <c r="F16" s="194"/>
      <c r="G16" s="222"/>
      <c r="J16" s="197" t="s">
        <v>10</v>
      </c>
      <c r="K16" s="197">
        <v>2</v>
      </c>
      <c r="L16" s="197"/>
      <c r="M16" s="197"/>
    </row>
    <row r="17" spans="1:13" s="146" customFormat="1" ht="30" customHeight="1">
      <c r="A17" s="215"/>
      <c r="B17" s="216"/>
      <c r="C17" s="147"/>
      <c r="D17" s="147"/>
      <c r="E17" s="194"/>
      <c r="F17" s="194"/>
      <c r="G17" s="225"/>
      <c r="J17" s="197" t="s">
        <v>23</v>
      </c>
      <c r="K17" s="197">
        <v>4</v>
      </c>
      <c r="L17" s="197"/>
      <c r="M17" s="197"/>
    </row>
    <row r="18" spans="1:13" s="146" customFormat="1" ht="30" customHeight="1">
      <c r="A18" s="215"/>
      <c r="B18" s="216"/>
      <c r="C18" s="147"/>
      <c r="D18" s="147"/>
      <c r="E18" s="199"/>
      <c r="F18" s="199"/>
      <c r="G18" s="225"/>
      <c r="J18" s="197" t="s">
        <v>24</v>
      </c>
      <c r="K18" s="197">
        <v>2</v>
      </c>
      <c r="L18" s="197"/>
      <c r="M18" s="197"/>
    </row>
    <row r="19" spans="1:13" s="146" customFormat="1" ht="30" customHeight="1">
      <c r="A19" s="215"/>
      <c r="B19" s="216"/>
      <c r="C19" s="147"/>
      <c r="D19" s="147"/>
      <c r="E19" s="194"/>
      <c r="F19" s="194"/>
      <c r="G19" s="222"/>
      <c r="J19" s="197" t="s">
        <v>20</v>
      </c>
      <c r="K19" s="197">
        <v>3</v>
      </c>
      <c r="L19" s="200" t="s">
        <v>25</v>
      </c>
      <c r="M19" s="197"/>
    </row>
    <row r="20" spans="1:13" s="146" customFormat="1" ht="30" customHeight="1">
      <c r="A20" s="215"/>
      <c r="B20" s="216"/>
      <c r="C20" s="147"/>
      <c r="D20" s="147"/>
      <c r="E20" s="194"/>
      <c r="F20" s="194"/>
      <c r="G20" s="222"/>
      <c r="J20" s="197" t="s">
        <v>26</v>
      </c>
      <c r="K20" s="197">
        <f>SUM(K16:K19)</f>
        <v>11</v>
      </c>
      <c r="L20" s="197"/>
      <c r="M20" s="197"/>
    </row>
    <row r="21" spans="1:13" s="146" customFormat="1" ht="30" customHeight="1">
      <c r="A21" s="217"/>
      <c r="B21" s="218"/>
      <c r="C21" s="147"/>
      <c r="D21" s="147"/>
      <c r="E21" s="194"/>
      <c r="F21" s="194"/>
      <c r="G21" s="222"/>
    </row>
    <row r="22" spans="1:13" s="146" customFormat="1" ht="30" customHeight="1">
      <c r="A22" s="219"/>
      <c r="B22" s="220"/>
      <c r="C22" s="147"/>
      <c r="D22" s="147"/>
      <c r="E22" s="199"/>
      <c r="F22" s="199"/>
      <c r="G22" s="222"/>
    </row>
    <row r="23" spans="1:13" s="146" customFormat="1" ht="30" customHeight="1">
      <c r="A23" s="215"/>
      <c r="B23" s="216"/>
      <c r="C23" s="147"/>
      <c r="D23" s="147"/>
      <c r="E23" s="194"/>
      <c r="F23" s="194"/>
      <c r="G23" s="222"/>
    </row>
    <row r="24" spans="1:13" s="146" customFormat="1" ht="30" customHeight="1">
      <c r="A24" s="215"/>
      <c r="B24" s="216"/>
      <c r="C24" s="147"/>
      <c r="D24" s="147"/>
      <c r="E24" s="194"/>
      <c r="F24" s="194"/>
      <c r="G24" s="225"/>
    </row>
    <row r="25" spans="1:13" s="146" customFormat="1" ht="30" customHeight="1">
      <c r="A25" s="215"/>
      <c r="B25" s="216"/>
      <c r="C25" s="147"/>
      <c r="D25" s="147"/>
      <c r="E25" s="199"/>
      <c r="F25" s="199"/>
      <c r="G25" s="225"/>
    </row>
    <row r="26" spans="1:13" s="146" customFormat="1" ht="30" customHeight="1">
      <c r="A26" s="215"/>
      <c r="B26" s="216"/>
      <c r="C26" s="147"/>
      <c r="D26" s="147"/>
      <c r="E26" s="194"/>
      <c r="F26" s="198"/>
      <c r="G26" s="225"/>
    </row>
    <row r="27" spans="1:13" s="146" customFormat="1" ht="30" customHeight="1">
      <c r="A27" s="215"/>
      <c r="B27" s="216"/>
      <c r="C27" s="147"/>
      <c r="D27" s="147"/>
      <c r="E27" s="194"/>
      <c r="F27" s="194"/>
      <c r="G27" s="225"/>
    </row>
    <row r="28" spans="1:13" s="146" customFormat="1" ht="30" customHeight="1">
      <c r="A28" s="217"/>
      <c r="B28" s="218"/>
      <c r="C28" s="147"/>
      <c r="D28" s="147"/>
      <c r="E28" s="194"/>
      <c r="F28" s="194"/>
      <c r="G28" s="222"/>
    </row>
    <row r="29" spans="1:13" s="146" customFormat="1" ht="30" customHeight="1">
      <c r="A29" s="219"/>
      <c r="B29" s="220"/>
      <c r="C29" s="147"/>
      <c r="D29" s="147"/>
      <c r="E29" s="199"/>
      <c r="F29" s="199"/>
      <c r="G29" s="226"/>
    </row>
    <row r="30" spans="1:13" s="146" customFormat="1" ht="30" customHeight="1">
      <c r="A30" s="219"/>
      <c r="B30" s="220"/>
      <c r="C30" s="147"/>
      <c r="D30" s="147"/>
      <c r="E30" s="194"/>
      <c r="F30" s="194"/>
      <c r="G30" s="226"/>
    </row>
    <row r="31" spans="1:13" s="146" customFormat="1" ht="30" customHeight="1">
      <c r="A31" s="215"/>
      <c r="B31" s="216"/>
      <c r="C31" s="147"/>
      <c r="D31" s="147"/>
      <c r="E31" s="194"/>
      <c r="F31" s="194"/>
      <c r="G31" s="222"/>
    </row>
    <row r="32" spans="1:13" s="146" customFormat="1" ht="30" customHeight="1">
      <c r="A32" s="215"/>
      <c r="B32" s="216"/>
      <c r="C32" s="147"/>
      <c r="D32" s="147"/>
      <c r="E32" s="199"/>
      <c r="F32" s="199"/>
      <c r="G32" s="222"/>
    </row>
    <row r="33" spans="1:7" s="146" customFormat="1" ht="30" customHeight="1">
      <c r="A33" s="215"/>
      <c r="B33" s="216"/>
      <c r="C33" s="147"/>
      <c r="D33" s="147"/>
      <c r="E33" s="194"/>
      <c r="F33" s="194"/>
      <c r="G33" s="222"/>
    </row>
    <row r="34" spans="1:7" s="146" customFormat="1" ht="30" customHeight="1">
      <c r="A34" s="215"/>
      <c r="B34" s="216"/>
      <c r="C34" s="147"/>
      <c r="D34" s="147"/>
      <c r="E34" s="194"/>
      <c r="F34" s="194"/>
      <c r="G34" s="222"/>
    </row>
    <row r="35" spans="1:7" s="146" customFormat="1" ht="30" customHeight="1">
      <c r="A35" s="217"/>
      <c r="B35" s="218"/>
      <c r="C35" s="147"/>
      <c r="D35" s="147"/>
      <c r="E35" s="194"/>
      <c r="F35" s="194"/>
      <c r="G35" s="222"/>
    </row>
    <row r="36" spans="1:7" s="146" customFormat="1" ht="30" customHeight="1">
      <c r="A36" s="219"/>
      <c r="B36" s="220"/>
      <c r="C36" s="147"/>
      <c r="D36" s="147"/>
      <c r="E36" s="194"/>
      <c r="F36" s="194"/>
      <c r="G36" s="222"/>
    </row>
    <row r="37" spans="1:7" s="146" customFormat="1" ht="30" customHeight="1">
      <c r="A37" s="291" t="s">
        <v>15</v>
      </c>
      <c r="B37" s="290"/>
      <c r="C37" s="142">
        <f>COUNTA(C6:C35)</f>
        <v>0</v>
      </c>
      <c r="D37" s="142">
        <f>COUNTA(D6:D35)</f>
        <v>0</v>
      </c>
      <c r="E37" s="195"/>
      <c r="F37" s="195"/>
      <c r="G37" s="227"/>
    </row>
  </sheetData>
  <mergeCells count="1">
    <mergeCell ref="A37:B37"/>
  </mergeCells>
  <phoneticPr fontId="2" type="noConversion"/>
  <conditionalFormatting sqref="C37:F37">
    <cfRule type="expression" dxfId="0" priority="3" stopIfTrue="1">
      <formula>IF($B37="일",ROW(#REF!),"")</formula>
    </cfRule>
  </conditionalFormatting>
  <printOptions horizontalCentered="1"/>
  <pageMargins left="0.39370078740157483" right="0.39370078740157483" top="0.78740157480314965" bottom="0.39370078740157483" header="0.39370078740157483" footer="0.39370078740157483"/>
  <pageSetup paperSize="9" scale="7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36"/>
  <sheetViews>
    <sheetView showGridLines="0" view="pageBreakPreview" zoomScale="80" zoomScaleSheetLayoutView="80" workbookViewId="0">
      <selection activeCell="G6" sqref="G6"/>
    </sheetView>
  </sheetViews>
  <sheetFormatPr defaultRowHeight="30" customHeight="1"/>
  <cols>
    <col min="1" max="1" width="20.3046875" style="39" customWidth="1"/>
    <col min="2" max="2" width="20.3046875" style="31" customWidth="1"/>
    <col min="3" max="3" width="60.69140625" style="39" customWidth="1"/>
    <col min="4" max="5" width="20.69140625" style="31" customWidth="1"/>
    <col min="6" max="257" width="9.23046875" style="39" customWidth="1"/>
    <col min="258" max="258" width="19.61328125" style="39" customWidth="1"/>
    <col min="259" max="259" width="47.921875" style="39" customWidth="1"/>
    <col min="260" max="261" width="7.69140625" style="39" customWidth="1"/>
    <col min="262" max="513" width="9.23046875" style="39" customWidth="1"/>
    <col min="514" max="514" width="19.61328125" style="39" customWidth="1"/>
    <col min="515" max="515" width="47.921875" style="39" customWidth="1"/>
    <col min="516" max="517" width="7.69140625" style="39" customWidth="1"/>
    <col min="518" max="769" width="9.23046875" style="39" customWidth="1"/>
    <col min="770" max="770" width="19.61328125" style="39" customWidth="1"/>
    <col min="771" max="771" width="47.921875" style="39" customWidth="1"/>
    <col min="772" max="773" width="7.69140625" style="39" customWidth="1"/>
    <col min="774" max="1025" width="9.23046875" style="39" customWidth="1"/>
    <col min="1026" max="1026" width="19.61328125" style="39" customWidth="1"/>
    <col min="1027" max="1027" width="47.921875" style="39" customWidth="1"/>
    <col min="1028" max="1029" width="7.69140625" style="39" customWidth="1"/>
    <col min="1030" max="1281" width="9.23046875" style="39" customWidth="1"/>
    <col min="1282" max="1282" width="19.61328125" style="39" customWidth="1"/>
    <col min="1283" max="1283" width="47.921875" style="39" customWidth="1"/>
    <col min="1284" max="1285" width="7.69140625" style="39" customWidth="1"/>
    <col min="1286" max="1537" width="9.23046875" style="39" customWidth="1"/>
    <col min="1538" max="1538" width="19.61328125" style="39" customWidth="1"/>
    <col min="1539" max="1539" width="47.921875" style="39" customWidth="1"/>
    <col min="1540" max="1541" width="7.69140625" style="39" customWidth="1"/>
    <col min="1542" max="1793" width="9.23046875" style="39" customWidth="1"/>
    <col min="1794" max="1794" width="19.61328125" style="39" customWidth="1"/>
    <col min="1795" max="1795" width="47.921875" style="39" customWidth="1"/>
    <col min="1796" max="1797" width="7.69140625" style="39" customWidth="1"/>
    <col min="1798" max="2049" width="9.23046875" style="39" customWidth="1"/>
    <col min="2050" max="2050" width="19.61328125" style="39" customWidth="1"/>
    <col min="2051" max="2051" width="47.921875" style="39" customWidth="1"/>
    <col min="2052" max="2053" width="7.69140625" style="39" customWidth="1"/>
    <col min="2054" max="2305" width="9.23046875" style="39" customWidth="1"/>
    <col min="2306" max="2306" width="19.61328125" style="39" customWidth="1"/>
    <col min="2307" max="2307" width="47.921875" style="39" customWidth="1"/>
    <col min="2308" max="2309" width="7.69140625" style="39" customWidth="1"/>
    <col min="2310" max="2561" width="9.23046875" style="39" customWidth="1"/>
    <col min="2562" max="2562" width="19.61328125" style="39" customWidth="1"/>
    <col min="2563" max="2563" width="47.921875" style="39" customWidth="1"/>
    <col min="2564" max="2565" width="7.69140625" style="39" customWidth="1"/>
    <col min="2566" max="2817" width="9.23046875" style="39" customWidth="1"/>
    <col min="2818" max="2818" width="19.61328125" style="39" customWidth="1"/>
    <col min="2819" max="2819" width="47.921875" style="39" customWidth="1"/>
    <col min="2820" max="2821" width="7.69140625" style="39" customWidth="1"/>
    <col min="2822" max="3073" width="9.23046875" style="39" customWidth="1"/>
    <col min="3074" max="3074" width="19.61328125" style="39" customWidth="1"/>
    <col min="3075" max="3075" width="47.921875" style="39" customWidth="1"/>
    <col min="3076" max="3077" width="7.69140625" style="39" customWidth="1"/>
    <col min="3078" max="3329" width="9.23046875" style="39" customWidth="1"/>
    <col min="3330" max="3330" width="19.61328125" style="39" customWidth="1"/>
    <col min="3331" max="3331" width="47.921875" style="39" customWidth="1"/>
    <col min="3332" max="3333" width="7.69140625" style="39" customWidth="1"/>
    <col min="3334" max="3585" width="9.23046875" style="39" customWidth="1"/>
    <col min="3586" max="3586" width="19.61328125" style="39" customWidth="1"/>
    <col min="3587" max="3587" width="47.921875" style="39" customWidth="1"/>
    <col min="3588" max="3589" width="7.69140625" style="39" customWidth="1"/>
    <col min="3590" max="3841" width="9.23046875" style="39" customWidth="1"/>
    <col min="3842" max="3842" width="19.61328125" style="39" customWidth="1"/>
    <col min="3843" max="3843" width="47.921875" style="39" customWidth="1"/>
    <col min="3844" max="3845" width="7.69140625" style="39" customWidth="1"/>
    <col min="3846" max="4097" width="9.23046875" style="39" customWidth="1"/>
    <col min="4098" max="4098" width="19.61328125" style="39" customWidth="1"/>
    <col min="4099" max="4099" width="47.921875" style="39" customWidth="1"/>
    <col min="4100" max="4101" width="7.69140625" style="39" customWidth="1"/>
    <col min="4102" max="4353" width="9.23046875" style="39" customWidth="1"/>
    <col min="4354" max="4354" width="19.61328125" style="39" customWidth="1"/>
    <col min="4355" max="4355" width="47.921875" style="39" customWidth="1"/>
    <col min="4356" max="4357" width="7.69140625" style="39" customWidth="1"/>
    <col min="4358" max="4609" width="9.23046875" style="39" customWidth="1"/>
    <col min="4610" max="4610" width="19.61328125" style="39" customWidth="1"/>
    <col min="4611" max="4611" width="47.921875" style="39" customWidth="1"/>
    <col min="4612" max="4613" width="7.69140625" style="39" customWidth="1"/>
    <col min="4614" max="4865" width="9.23046875" style="39" customWidth="1"/>
    <col min="4866" max="4866" width="19.61328125" style="39" customWidth="1"/>
    <col min="4867" max="4867" width="47.921875" style="39" customWidth="1"/>
    <col min="4868" max="4869" width="7.69140625" style="39" customWidth="1"/>
    <col min="4870" max="5121" width="9.23046875" style="39" customWidth="1"/>
    <col min="5122" max="5122" width="19.61328125" style="39" customWidth="1"/>
    <col min="5123" max="5123" width="47.921875" style="39" customWidth="1"/>
    <col min="5124" max="5125" width="7.69140625" style="39" customWidth="1"/>
    <col min="5126" max="5377" width="9.23046875" style="39" customWidth="1"/>
    <col min="5378" max="5378" width="19.61328125" style="39" customWidth="1"/>
    <col min="5379" max="5379" width="47.921875" style="39" customWidth="1"/>
    <col min="5380" max="5381" width="7.69140625" style="39" customWidth="1"/>
    <col min="5382" max="5633" width="9.23046875" style="39" customWidth="1"/>
    <col min="5634" max="5634" width="19.61328125" style="39" customWidth="1"/>
    <col min="5635" max="5635" width="47.921875" style="39" customWidth="1"/>
    <col min="5636" max="5637" width="7.69140625" style="39" customWidth="1"/>
    <col min="5638" max="5889" width="9.23046875" style="39" customWidth="1"/>
    <col min="5890" max="5890" width="19.61328125" style="39" customWidth="1"/>
    <col min="5891" max="5891" width="47.921875" style="39" customWidth="1"/>
    <col min="5892" max="5893" width="7.69140625" style="39" customWidth="1"/>
    <col min="5894" max="6145" width="9.23046875" style="39" customWidth="1"/>
    <col min="6146" max="6146" width="19.61328125" style="39" customWidth="1"/>
    <col min="6147" max="6147" width="47.921875" style="39" customWidth="1"/>
    <col min="6148" max="6149" width="7.69140625" style="39" customWidth="1"/>
    <col min="6150" max="6401" width="9.23046875" style="39" customWidth="1"/>
    <col min="6402" max="6402" width="19.61328125" style="39" customWidth="1"/>
    <col min="6403" max="6403" width="47.921875" style="39" customWidth="1"/>
    <col min="6404" max="6405" width="7.69140625" style="39" customWidth="1"/>
    <col min="6406" max="6657" width="9.23046875" style="39" customWidth="1"/>
    <col min="6658" max="6658" width="19.61328125" style="39" customWidth="1"/>
    <col min="6659" max="6659" width="47.921875" style="39" customWidth="1"/>
    <col min="6660" max="6661" width="7.69140625" style="39" customWidth="1"/>
    <col min="6662" max="6913" width="9.23046875" style="39" customWidth="1"/>
    <col min="6914" max="6914" width="19.61328125" style="39" customWidth="1"/>
    <col min="6915" max="6915" width="47.921875" style="39" customWidth="1"/>
    <col min="6916" max="6917" width="7.69140625" style="39" customWidth="1"/>
    <col min="6918" max="7169" width="9.23046875" style="39" customWidth="1"/>
    <col min="7170" max="7170" width="19.61328125" style="39" customWidth="1"/>
    <col min="7171" max="7171" width="47.921875" style="39" customWidth="1"/>
    <col min="7172" max="7173" width="7.69140625" style="39" customWidth="1"/>
    <col min="7174" max="7425" width="9.23046875" style="39" customWidth="1"/>
    <col min="7426" max="7426" width="19.61328125" style="39" customWidth="1"/>
    <col min="7427" max="7427" width="47.921875" style="39" customWidth="1"/>
    <col min="7428" max="7429" width="7.69140625" style="39" customWidth="1"/>
    <col min="7430" max="7681" width="9.23046875" style="39" customWidth="1"/>
    <col min="7682" max="7682" width="19.61328125" style="39" customWidth="1"/>
    <col min="7683" max="7683" width="47.921875" style="39" customWidth="1"/>
    <col min="7684" max="7685" width="7.69140625" style="39" customWidth="1"/>
    <col min="7686" max="7937" width="9.23046875" style="39" customWidth="1"/>
    <col min="7938" max="7938" width="19.61328125" style="39" customWidth="1"/>
    <col min="7939" max="7939" width="47.921875" style="39" customWidth="1"/>
    <col min="7940" max="7941" width="7.69140625" style="39" customWidth="1"/>
    <col min="7942" max="8193" width="9.23046875" style="39" customWidth="1"/>
    <col min="8194" max="8194" width="19.61328125" style="39" customWidth="1"/>
    <col min="8195" max="8195" width="47.921875" style="39" customWidth="1"/>
    <col min="8196" max="8197" width="7.69140625" style="39" customWidth="1"/>
    <col min="8198" max="8449" width="9.23046875" style="39" customWidth="1"/>
    <col min="8450" max="8450" width="19.61328125" style="39" customWidth="1"/>
    <col min="8451" max="8451" width="47.921875" style="39" customWidth="1"/>
    <col min="8452" max="8453" width="7.69140625" style="39" customWidth="1"/>
    <col min="8454" max="8705" width="9.23046875" style="39" customWidth="1"/>
    <col min="8706" max="8706" width="19.61328125" style="39" customWidth="1"/>
    <col min="8707" max="8707" width="47.921875" style="39" customWidth="1"/>
    <col min="8708" max="8709" width="7.69140625" style="39" customWidth="1"/>
    <col min="8710" max="8961" width="9.23046875" style="39" customWidth="1"/>
    <col min="8962" max="8962" width="19.61328125" style="39" customWidth="1"/>
    <col min="8963" max="8963" width="47.921875" style="39" customWidth="1"/>
    <col min="8964" max="8965" width="7.69140625" style="39" customWidth="1"/>
    <col min="8966" max="9217" width="9.23046875" style="39" customWidth="1"/>
    <col min="9218" max="9218" width="19.61328125" style="39" customWidth="1"/>
    <col min="9219" max="9219" width="47.921875" style="39" customWidth="1"/>
    <col min="9220" max="9221" width="7.69140625" style="39" customWidth="1"/>
    <col min="9222" max="9473" width="9.23046875" style="39" customWidth="1"/>
    <col min="9474" max="9474" width="19.61328125" style="39" customWidth="1"/>
    <col min="9475" max="9475" width="47.921875" style="39" customWidth="1"/>
    <col min="9476" max="9477" width="7.69140625" style="39" customWidth="1"/>
    <col min="9478" max="9729" width="9.23046875" style="39" customWidth="1"/>
    <col min="9730" max="9730" width="19.61328125" style="39" customWidth="1"/>
    <col min="9731" max="9731" width="47.921875" style="39" customWidth="1"/>
    <col min="9732" max="9733" width="7.69140625" style="39" customWidth="1"/>
    <col min="9734" max="9985" width="9.23046875" style="39" customWidth="1"/>
    <col min="9986" max="9986" width="19.61328125" style="39" customWidth="1"/>
    <col min="9987" max="9987" width="47.921875" style="39" customWidth="1"/>
    <col min="9988" max="9989" width="7.69140625" style="39" customWidth="1"/>
    <col min="9990" max="10241" width="9.23046875" style="39" customWidth="1"/>
    <col min="10242" max="10242" width="19.61328125" style="39" customWidth="1"/>
    <col min="10243" max="10243" width="47.921875" style="39" customWidth="1"/>
    <col min="10244" max="10245" width="7.69140625" style="39" customWidth="1"/>
    <col min="10246" max="10497" width="9.23046875" style="39" customWidth="1"/>
    <col min="10498" max="10498" width="19.61328125" style="39" customWidth="1"/>
    <col min="10499" max="10499" width="47.921875" style="39" customWidth="1"/>
    <col min="10500" max="10501" width="7.69140625" style="39" customWidth="1"/>
    <col min="10502" max="10753" width="9.23046875" style="39" customWidth="1"/>
    <col min="10754" max="10754" width="19.61328125" style="39" customWidth="1"/>
    <col min="10755" max="10755" width="47.921875" style="39" customWidth="1"/>
    <col min="10756" max="10757" width="7.69140625" style="39" customWidth="1"/>
    <col min="10758" max="11009" width="9.23046875" style="39" customWidth="1"/>
    <col min="11010" max="11010" width="19.61328125" style="39" customWidth="1"/>
    <col min="11011" max="11011" width="47.921875" style="39" customWidth="1"/>
    <col min="11012" max="11013" width="7.69140625" style="39" customWidth="1"/>
    <col min="11014" max="11265" width="9.23046875" style="39" customWidth="1"/>
    <col min="11266" max="11266" width="19.61328125" style="39" customWidth="1"/>
    <col min="11267" max="11267" width="47.921875" style="39" customWidth="1"/>
    <col min="11268" max="11269" width="7.69140625" style="39" customWidth="1"/>
    <col min="11270" max="11521" width="9.23046875" style="39" customWidth="1"/>
    <col min="11522" max="11522" width="19.61328125" style="39" customWidth="1"/>
    <col min="11523" max="11523" width="47.921875" style="39" customWidth="1"/>
    <col min="11524" max="11525" width="7.69140625" style="39" customWidth="1"/>
    <col min="11526" max="11777" width="9.23046875" style="39" customWidth="1"/>
    <col min="11778" max="11778" width="19.61328125" style="39" customWidth="1"/>
    <col min="11779" max="11779" width="47.921875" style="39" customWidth="1"/>
    <col min="11780" max="11781" width="7.69140625" style="39" customWidth="1"/>
    <col min="11782" max="12033" width="9.23046875" style="39" customWidth="1"/>
    <col min="12034" max="12034" width="19.61328125" style="39" customWidth="1"/>
    <col min="12035" max="12035" width="47.921875" style="39" customWidth="1"/>
    <col min="12036" max="12037" width="7.69140625" style="39" customWidth="1"/>
    <col min="12038" max="12289" width="9.23046875" style="39" customWidth="1"/>
    <col min="12290" max="12290" width="19.61328125" style="39" customWidth="1"/>
    <col min="12291" max="12291" width="47.921875" style="39" customWidth="1"/>
    <col min="12292" max="12293" width="7.69140625" style="39" customWidth="1"/>
    <col min="12294" max="12545" width="9.23046875" style="39" customWidth="1"/>
    <col min="12546" max="12546" width="19.61328125" style="39" customWidth="1"/>
    <col min="12547" max="12547" width="47.921875" style="39" customWidth="1"/>
    <col min="12548" max="12549" width="7.69140625" style="39" customWidth="1"/>
    <col min="12550" max="12801" width="9.23046875" style="39" customWidth="1"/>
    <col min="12802" max="12802" width="19.61328125" style="39" customWidth="1"/>
    <col min="12803" max="12803" width="47.921875" style="39" customWidth="1"/>
    <col min="12804" max="12805" width="7.69140625" style="39" customWidth="1"/>
    <col min="12806" max="13057" width="9.23046875" style="39" customWidth="1"/>
    <col min="13058" max="13058" width="19.61328125" style="39" customWidth="1"/>
    <col min="13059" max="13059" width="47.921875" style="39" customWidth="1"/>
    <col min="13060" max="13061" width="7.69140625" style="39" customWidth="1"/>
    <col min="13062" max="13313" width="9.23046875" style="39" customWidth="1"/>
    <col min="13314" max="13314" width="19.61328125" style="39" customWidth="1"/>
    <col min="13315" max="13315" width="47.921875" style="39" customWidth="1"/>
    <col min="13316" max="13317" width="7.69140625" style="39" customWidth="1"/>
    <col min="13318" max="13569" width="9.23046875" style="39" customWidth="1"/>
    <col min="13570" max="13570" width="19.61328125" style="39" customWidth="1"/>
    <col min="13571" max="13571" width="47.921875" style="39" customWidth="1"/>
    <col min="13572" max="13573" width="7.69140625" style="39" customWidth="1"/>
    <col min="13574" max="13825" width="9.23046875" style="39" customWidth="1"/>
    <col min="13826" max="13826" width="19.61328125" style="39" customWidth="1"/>
    <col min="13827" max="13827" width="47.921875" style="39" customWidth="1"/>
    <col min="13828" max="13829" width="7.69140625" style="39" customWidth="1"/>
    <col min="13830" max="14081" width="9.23046875" style="39" customWidth="1"/>
    <col min="14082" max="14082" width="19.61328125" style="39" customWidth="1"/>
    <col min="14083" max="14083" width="47.921875" style="39" customWidth="1"/>
    <col min="14084" max="14085" width="7.69140625" style="39" customWidth="1"/>
    <col min="14086" max="14337" width="9.23046875" style="39" customWidth="1"/>
    <col min="14338" max="14338" width="19.61328125" style="39" customWidth="1"/>
    <col min="14339" max="14339" width="47.921875" style="39" customWidth="1"/>
    <col min="14340" max="14341" width="7.69140625" style="39" customWidth="1"/>
    <col min="14342" max="14593" width="9.23046875" style="39" customWidth="1"/>
    <col min="14594" max="14594" width="19.61328125" style="39" customWidth="1"/>
    <col min="14595" max="14595" width="47.921875" style="39" customWidth="1"/>
    <col min="14596" max="14597" width="7.69140625" style="39" customWidth="1"/>
    <col min="14598" max="14849" width="9.23046875" style="39" customWidth="1"/>
    <col min="14850" max="14850" width="19.61328125" style="39" customWidth="1"/>
    <col min="14851" max="14851" width="47.921875" style="39" customWidth="1"/>
    <col min="14852" max="14853" width="7.69140625" style="39" customWidth="1"/>
    <col min="14854" max="15105" width="9.23046875" style="39" customWidth="1"/>
    <col min="15106" max="15106" width="19.61328125" style="39" customWidth="1"/>
    <col min="15107" max="15107" width="47.921875" style="39" customWidth="1"/>
    <col min="15108" max="15109" width="7.69140625" style="39" customWidth="1"/>
    <col min="15110" max="15361" width="9.23046875" style="39" customWidth="1"/>
    <col min="15362" max="15362" width="19.61328125" style="39" customWidth="1"/>
    <col min="15363" max="15363" width="47.921875" style="39" customWidth="1"/>
    <col min="15364" max="15365" width="7.69140625" style="39" customWidth="1"/>
    <col min="15366" max="15617" width="9.23046875" style="39" customWidth="1"/>
    <col min="15618" max="15618" width="19.61328125" style="39" customWidth="1"/>
    <col min="15619" max="15619" width="47.921875" style="39" customWidth="1"/>
    <col min="15620" max="15621" width="7.69140625" style="39" customWidth="1"/>
    <col min="15622" max="15873" width="9.23046875" style="39" customWidth="1"/>
    <col min="15874" max="15874" width="19.61328125" style="39" customWidth="1"/>
    <col min="15875" max="15875" width="47.921875" style="39" customWidth="1"/>
    <col min="15876" max="15877" width="7.69140625" style="39" customWidth="1"/>
    <col min="15878" max="16129" width="9.23046875" style="39" customWidth="1"/>
    <col min="16130" max="16130" width="19.61328125" style="39" customWidth="1"/>
    <col min="16131" max="16131" width="47.921875" style="39" customWidth="1"/>
    <col min="16132" max="16133" width="7.69140625" style="39" customWidth="1"/>
    <col min="16134" max="16384" width="9.23046875" style="39" customWidth="1"/>
  </cols>
  <sheetData>
    <row r="1" spans="1:5" s="15" customFormat="1" ht="50.05" customHeight="1">
      <c r="A1" s="148" t="s">
        <v>5</v>
      </c>
      <c r="B1" s="149"/>
      <c r="C1" s="148"/>
      <c r="D1" s="149"/>
      <c r="E1" s="149"/>
    </row>
    <row r="2" spans="1:5" ht="30" customHeight="1">
      <c r="A2" s="96"/>
    </row>
    <row r="3" spans="1:5" s="97" customFormat="1" ht="30" customHeight="1">
      <c r="A3" s="119" t="s">
        <v>27</v>
      </c>
      <c r="B3" s="119"/>
      <c r="C3" s="119"/>
      <c r="D3" s="150"/>
      <c r="E3" s="150"/>
    </row>
    <row r="4" spans="1:5" ht="10" customHeight="1" thickBot="1">
      <c r="D4" s="39"/>
      <c r="E4" s="39"/>
    </row>
    <row r="5" spans="1:5" ht="34" customHeight="1">
      <c r="A5" s="304" t="s">
        <v>28</v>
      </c>
      <c r="B5" s="305"/>
      <c r="C5" s="300" t="s">
        <v>29</v>
      </c>
      <c r="D5" s="300" t="s">
        <v>30</v>
      </c>
      <c r="E5" s="301"/>
    </row>
    <row r="6" spans="1:5" ht="34" customHeight="1">
      <c r="A6" s="306"/>
      <c r="B6" s="307"/>
      <c r="C6" s="308"/>
      <c r="D6" s="32" t="s">
        <v>31</v>
      </c>
      <c r="E6" s="98" t="s">
        <v>32</v>
      </c>
    </row>
    <row r="7" spans="1:5" ht="34" customHeight="1">
      <c r="A7" s="302" t="s">
        <v>33</v>
      </c>
      <c r="B7" s="303" t="s">
        <v>34</v>
      </c>
      <c r="C7" s="100" t="s">
        <v>35</v>
      </c>
      <c r="D7" s="99" t="s">
        <v>36</v>
      </c>
      <c r="E7" s="101"/>
    </row>
    <row r="8" spans="1:5" ht="34" customHeight="1">
      <c r="A8" s="296"/>
      <c r="B8" s="293"/>
      <c r="C8" s="103" t="s">
        <v>37</v>
      </c>
      <c r="D8" s="102" t="s">
        <v>36</v>
      </c>
      <c r="E8" s="104" t="s">
        <v>36</v>
      </c>
    </row>
    <row r="9" spans="1:5" ht="34" customHeight="1">
      <c r="A9" s="296"/>
      <c r="B9" s="293"/>
      <c r="C9" s="103" t="s">
        <v>38</v>
      </c>
      <c r="D9" s="102" t="s">
        <v>36</v>
      </c>
      <c r="E9" s="104"/>
    </row>
    <row r="10" spans="1:5" ht="34" customHeight="1">
      <c r="A10" s="296"/>
      <c r="B10" s="293"/>
      <c r="C10" s="103" t="s">
        <v>39</v>
      </c>
      <c r="D10" s="102" t="s">
        <v>36</v>
      </c>
      <c r="E10" s="104"/>
    </row>
    <row r="11" spans="1:5" ht="34" customHeight="1">
      <c r="A11" s="296"/>
      <c r="B11" s="293"/>
      <c r="C11" s="103" t="s">
        <v>40</v>
      </c>
      <c r="D11" s="102" t="s">
        <v>36</v>
      </c>
      <c r="E11" s="104"/>
    </row>
    <row r="12" spans="1:5" ht="34" customHeight="1">
      <c r="A12" s="296"/>
      <c r="B12" s="293"/>
      <c r="C12" s="103" t="s">
        <v>41</v>
      </c>
      <c r="D12" s="102" t="s">
        <v>36</v>
      </c>
      <c r="E12" s="105"/>
    </row>
    <row r="13" spans="1:5" ht="34" customHeight="1">
      <c r="A13" s="296"/>
      <c r="B13" s="294"/>
      <c r="C13" s="107" t="s">
        <v>42</v>
      </c>
      <c r="D13" s="106" t="s">
        <v>36</v>
      </c>
      <c r="E13" s="108"/>
    </row>
    <row r="14" spans="1:5" ht="34" customHeight="1">
      <c r="A14" s="296"/>
      <c r="B14" s="292" t="s">
        <v>43</v>
      </c>
      <c r="C14" s="110" t="s">
        <v>44</v>
      </c>
      <c r="D14" s="109" t="s">
        <v>36</v>
      </c>
      <c r="E14" s="111"/>
    </row>
    <row r="15" spans="1:5" ht="34" customHeight="1">
      <c r="A15" s="296"/>
      <c r="B15" s="293"/>
      <c r="C15" s="103" t="s">
        <v>45</v>
      </c>
      <c r="D15" s="102" t="s">
        <v>36</v>
      </c>
      <c r="E15" s="104"/>
    </row>
    <row r="16" spans="1:5" ht="34" customHeight="1">
      <c r="A16" s="296"/>
      <c r="B16" s="293"/>
      <c r="C16" s="103" t="s">
        <v>46</v>
      </c>
      <c r="D16" s="102" t="s">
        <v>36</v>
      </c>
      <c r="E16" s="104" t="s">
        <v>36</v>
      </c>
    </row>
    <row r="17" spans="1:5" ht="34" customHeight="1">
      <c r="A17" s="296"/>
      <c r="B17" s="293"/>
      <c r="C17" s="103" t="s">
        <v>47</v>
      </c>
      <c r="D17" s="102" t="s">
        <v>36</v>
      </c>
      <c r="E17" s="104"/>
    </row>
    <row r="18" spans="1:5" ht="34" customHeight="1">
      <c r="A18" s="296"/>
      <c r="B18" s="293"/>
      <c r="C18" s="103" t="s">
        <v>48</v>
      </c>
      <c r="D18" s="102" t="s">
        <v>36</v>
      </c>
      <c r="E18" s="104"/>
    </row>
    <row r="19" spans="1:5" ht="34" customHeight="1">
      <c r="A19" s="296"/>
      <c r="B19" s="293"/>
      <c r="C19" s="103" t="s">
        <v>49</v>
      </c>
      <c r="D19" s="102" t="s">
        <v>36</v>
      </c>
      <c r="E19" s="104" t="s">
        <v>36</v>
      </c>
    </row>
    <row r="20" spans="1:5" ht="34" customHeight="1">
      <c r="A20" s="296"/>
      <c r="B20" s="293"/>
      <c r="C20" s="103" t="s">
        <v>50</v>
      </c>
      <c r="D20" s="102" t="s">
        <v>36</v>
      </c>
      <c r="E20" s="104" t="s">
        <v>36</v>
      </c>
    </row>
    <row r="21" spans="1:5" ht="34" customHeight="1">
      <c r="A21" s="296"/>
      <c r="B21" s="294"/>
      <c r="C21" s="107" t="s">
        <v>51</v>
      </c>
      <c r="D21" s="106" t="s">
        <v>36</v>
      </c>
      <c r="E21" s="108"/>
    </row>
    <row r="22" spans="1:5" ht="34" customHeight="1">
      <c r="A22" s="296"/>
      <c r="B22" s="292" t="s">
        <v>52</v>
      </c>
      <c r="C22" s="110" t="s">
        <v>53</v>
      </c>
      <c r="D22" s="109" t="s">
        <v>36</v>
      </c>
      <c r="E22" s="111"/>
    </row>
    <row r="23" spans="1:5" ht="34" customHeight="1">
      <c r="A23" s="296"/>
      <c r="B23" s="293"/>
      <c r="C23" s="103" t="s">
        <v>54</v>
      </c>
      <c r="D23" s="102" t="s">
        <v>36</v>
      </c>
      <c r="E23" s="104"/>
    </row>
    <row r="24" spans="1:5" ht="34" customHeight="1">
      <c r="A24" s="299"/>
      <c r="B24" s="294"/>
      <c r="C24" s="107" t="s">
        <v>55</v>
      </c>
      <c r="D24" s="106" t="s">
        <v>36</v>
      </c>
      <c r="E24" s="108"/>
    </row>
    <row r="25" spans="1:5" ht="34" customHeight="1">
      <c r="A25" s="298" t="s">
        <v>56</v>
      </c>
      <c r="B25" s="292" t="s">
        <v>57</v>
      </c>
      <c r="C25" s="110" t="s">
        <v>58</v>
      </c>
      <c r="D25" s="109" t="s">
        <v>36</v>
      </c>
      <c r="E25" s="111"/>
    </row>
    <row r="26" spans="1:5" ht="34" customHeight="1">
      <c r="A26" s="296"/>
      <c r="B26" s="293"/>
      <c r="C26" s="103" t="s">
        <v>59</v>
      </c>
      <c r="D26" s="102" t="s">
        <v>36</v>
      </c>
      <c r="E26" s="104"/>
    </row>
    <row r="27" spans="1:5" ht="34" customHeight="1">
      <c r="A27" s="296"/>
      <c r="B27" s="293"/>
      <c r="C27" s="103" t="s">
        <v>60</v>
      </c>
      <c r="D27" s="102" t="s">
        <v>36</v>
      </c>
      <c r="E27" s="104" t="s">
        <v>36</v>
      </c>
    </row>
    <row r="28" spans="1:5" ht="34" customHeight="1">
      <c r="A28" s="296"/>
      <c r="B28" s="293"/>
      <c r="C28" s="103" t="s">
        <v>61</v>
      </c>
      <c r="D28" s="102" t="s">
        <v>36</v>
      </c>
      <c r="E28" s="104"/>
    </row>
    <row r="29" spans="1:5" ht="34" customHeight="1">
      <c r="A29" s="299"/>
      <c r="B29" s="294"/>
      <c r="C29" s="107" t="s">
        <v>62</v>
      </c>
      <c r="D29" s="106"/>
      <c r="E29" s="108" t="s">
        <v>36</v>
      </c>
    </row>
    <row r="30" spans="1:5" ht="34" customHeight="1">
      <c r="A30" s="295" t="s">
        <v>63</v>
      </c>
      <c r="B30" s="112" t="s">
        <v>64</v>
      </c>
      <c r="C30" s="113" t="s">
        <v>65</v>
      </c>
      <c r="D30" s="112" t="s">
        <v>36</v>
      </c>
      <c r="E30" s="114"/>
    </row>
    <row r="31" spans="1:5" ht="34" customHeight="1">
      <c r="A31" s="296"/>
      <c r="B31" s="309" t="s">
        <v>66</v>
      </c>
      <c r="C31" s="110" t="s">
        <v>67</v>
      </c>
      <c r="D31" s="109" t="s">
        <v>36</v>
      </c>
      <c r="E31" s="111"/>
    </row>
    <row r="32" spans="1:5" ht="34" customHeight="1">
      <c r="A32" s="296"/>
      <c r="B32" s="294"/>
      <c r="C32" s="107" t="s">
        <v>68</v>
      </c>
      <c r="D32" s="106" t="s">
        <v>36</v>
      </c>
      <c r="E32" s="108" t="s">
        <v>36</v>
      </c>
    </row>
    <row r="33" spans="1:5" ht="34" customHeight="1">
      <c r="A33" s="296"/>
      <c r="B33" s="292" t="s">
        <v>69</v>
      </c>
      <c r="C33" s="110" t="s">
        <v>70</v>
      </c>
      <c r="D33" s="109" t="s">
        <v>36</v>
      </c>
      <c r="E33" s="111"/>
    </row>
    <row r="34" spans="1:5" ht="34" customHeight="1">
      <c r="A34" s="296"/>
      <c r="B34" s="294"/>
      <c r="C34" s="107" t="s">
        <v>71</v>
      </c>
      <c r="D34" s="106" t="s">
        <v>36</v>
      </c>
      <c r="E34" s="108" t="s">
        <v>36</v>
      </c>
    </row>
    <row r="35" spans="1:5" ht="34" customHeight="1">
      <c r="A35" s="296"/>
      <c r="B35" s="309" t="s">
        <v>72</v>
      </c>
      <c r="C35" s="110" t="s">
        <v>73</v>
      </c>
      <c r="D35" s="109" t="s">
        <v>36</v>
      </c>
      <c r="E35" s="111"/>
    </row>
    <row r="36" spans="1:5" ht="34" customHeight="1" thickBot="1">
      <c r="A36" s="297"/>
      <c r="B36" s="294"/>
      <c r="C36" s="116" t="s">
        <v>74</v>
      </c>
      <c r="D36" s="115" t="s">
        <v>36</v>
      </c>
      <c r="E36" s="117"/>
    </row>
  </sheetData>
  <mergeCells count="13">
    <mergeCell ref="B14:B21"/>
    <mergeCell ref="A30:A36"/>
    <mergeCell ref="A25:A29"/>
    <mergeCell ref="B25:B29"/>
    <mergeCell ref="D5:E5"/>
    <mergeCell ref="A7:A24"/>
    <mergeCell ref="B7:B13"/>
    <mergeCell ref="A5:B6"/>
    <mergeCell ref="B33:B34"/>
    <mergeCell ref="C5:C6"/>
    <mergeCell ref="B35:B36"/>
    <mergeCell ref="B22:B24"/>
    <mergeCell ref="B31:B32"/>
  </mergeCells>
  <phoneticPr fontId="2" type="noConversion"/>
  <printOptions horizontalCentered="1"/>
  <pageMargins left="0.39370078740157483" right="0.39370078740157483" top="0.78740157480314965" bottom="0.39370078740157483" header="0.39370078740157483" footer="0.39370078740157483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W35"/>
  <sheetViews>
    <sheetView showGridLines="0" view="pageBreakPreview" zoomScale="80" zoomScaleNormal="80" zoomScaleSheetLayoutView="80" workbookViewId="0">
      <pane ySplit="5" topLeftCell="A6" activePane="bottomLeft" state="frozen"/>
      <selection activeCell="E8" sqref="E8:H8"/>
      <selection pane="bottomLeft" activeCell="AW6" sqref="AW6"/>
    </sheetView>
  </sheetViews>
  <sheetFormatPr defaultRowHeight="17.600000000000001"/>
  <cols>
    <col min="1" max="2" width="8.765625" style="5" customWidth="1"/>
    <col min="3" max="3" width="54.3828125" style="5" bestFit="1" customWidth="1"/>
    <col min="4" max="47" width="2.4609375" style="5" customWidth="1"/>
    <col min="48" max="48" width="9.23046875" style="175" customWidth="1"/>
    <col min="49" max="255" width="9.23046875" style="5" customWidth="1"/>
    <col min="256" max="257" width="6.921875" style="5" customWidth="1"/>
    <col min="258" max="258" width="30.765625" style="5" customWidth="1"/>
    <col min="259" max="302" width="2.3046875" style="5" customWidth="1"/>
    <col min="303" max="303" width="1.921875" style="5" customWidth="1"/>
    <col min="304" max="511" width="9.23046875" style="5" customWidth="1"/>
    <col min="512" max="513" width="6.921875" style="5" customWidth="1"/>
    <col min="514" max="514" width="30.765625" style="5" customWidth="1"/>
    <col min="515" max="558" width="2.3046875" style="5" customWidth="1"/>
    <col min="559" max="559" width="1.921875" style="5" customWidth="1"/>
    <col min="560" max="767" width="9.23046875" style="5" customWidth="1"/>
    <col min="768" max="769" width="6.921875" style="5" customWidth="1"/>
    <col min="770" max="770" width="30.765625" style="5" customWidth="1"/>
    <col min="771" max="814" width="2.3046875" style="5" customWidth="1"/>
    <col min="815" max="815" width="1.921875" style="5" customWidth="1"/>
    <col min="816" max="1023" width="9.23046875" style="5" customWidth="1"/>
    <col min="1024" max="1025" width="6.921875" style="5" customWidth="1"/>
    <col min="1026" max="1026" width="30.765625" style="5" customWidth="1"/>
    <col min="1027" max="1070" width="2.3046875" style="5" customWidth="1"/>
    <col min="1071" max="1071" width="1.921875" style="5" customWidth="1"/>
    <col min="1072" max="1279" width="9.23046875" style="5" customWidth="1"/>
    <col min="1280" max="1281" width="6.921875" style="5" customWidth="1"/>
    <col min="1282" max="1282" width="30.765625" style="5" customWidth="1"/>
    <col min="1283" max="1326" width="2.3046875" style="5" customWidth="1"/>
    <col min="1327" max="1327" width="1.921875" style="5" customWidth="1"/>
    <col min="1328" max="1535" width="9.23046875" style="5" customWidth="1"/>
    <col min="1536" max="1537" width="6.921875" style="5" customWidth="1"/>
    <col min="1538" max="1538" width="30.765625" style="5" customWidth="1"/>
    <col min="1539" max="1582" width="2.3046875" style="5" customWidth="1"/>
    <col min="1583" max="1583" width="1.921875" style="5" customWidth="1"/>
    <col min="1584" max="1791" width="9.23046875" style="5" customWidth="1"/>
    <col min="1792" max="1793" width="6.921875" style="5" customWidth="1"/>
    <col min="1794" max="1794" width="30.765625" style="5" customWidth="1"/>
    <col min="1795" max="1838" width="2.3046875" style="5" customWidth="1"/>
    <col min="1839" max="1839" width="1.921875" style="5" customWidth="1"/>
    <col min="1840" max="2047" width="9.23046875" style="5" customWidth="1"/>
    <col min="2048" max="2049" width="6.921875" style="5" customWidth="1"/>
    <col min="2050" max="2050" width="30.765625" style="5" customWidth="1"/>
    <col min="2051" max="2094" width="2.3046875" style="5" customWidth="1"/>
    <col min="2095" max="2095" width="1.921875" style="5" customWidth="1"/>
    <col min="2096" max="2303" width="9.23046875" style="5" customWidth="1"/>
    <col min="2304" max="2305" width="6.921875" style="5" customWidth="1"/>
    <col min="2306" max="2306" width="30.765625" style="5" customWidth="1"/>
    <col min="2307" max="2350" width="2.3046875" style="5" customWidth="1"/>
    <col min="2351" max="2351" width="1.921875" style="5" customWidth="1"/>
    <col min="2352" max="2559" width="9.23046875" style="5" customWidth="1"/>
    <col min="2560" max="2561" width="6.921875" style="5" customWidth="1"/>
    <col min="2562" max="2562" width="30.765625" style="5" customWidth="1"/>
    <col min="2563" max="2606" width="2.3046875" style="5" customWidth="1"/>
    <col min="2607" max="2607" width="1.921875" style="5" customWidth="1"/>
    <col min="2608" max="2815" width="9.23046875" style="5" customWidth="1"/>
    <col min="2816" max="2817" width="6.921875" style="5" customWidth="1"/>
    <col min="2818" max="2818" width="30.765625" style="5" customWidth="1"/>
    <col min="2819" max="2862" width="2.3046875" style="5" customWidth="1"/>
    <col min="2863" max="2863" width="1.921875" style="5" customWidth="1"/>
    <col min="2864" max="3071" width="9.23046875" style="5" customWidth="1"/>
    <col min="3072" max="3073" width="6.921875" style="5" customWidth="1"/>
    <col min="3074" max="3074" width="30.765625" style="5" customWidth="1"/>
    <col min="3075" max="3118" width="2.3046875" style="5" customWidth="1"/>
    <col min="3119" max="3119" width="1.921875" style="5" customWidth="1"/>
    <col min="3120" max="3327" width="9.23046875" style="5" customWidth="1"/>
    <col min="3328" max="3329" width="6.921875" style="5" customWidth="1"/>
    <col min="3330" max="3330" width="30.765625" style="5" customWidth="1"/>
    <col min="3331" max="3374" width="2.3046875" style="5" customWidth="1"/>
    <col min="3375" max="3375" width="1.921875" style="5" customWidth="1"/>
    <col min="3376" max="3583" width="9.23046875" style="5" customWidth="1"/>
    <col min="3584" max="3585" width="6.921875" style="5" customWidth="1"/>
    <col min="3586" max="3586" width="30.765625" style="5" customWidth="1"/>
    <col min="3587" max="3630" width="2.3046875" style="5" customWidth="1"/>
    <col min="3631" max="3631" width="1.921875" style="5" customWidth="1"/>
    <col min="3632" max="3839" width="9.23046875" style="5" customWidth="1"/>
    <col min="3840" max="3841" width="6.921875" style="5" customWidth="1"/>
    <col min="3842" max="3842" width="30.765625" style="5" customWidth="1"/>
    <col min="3843" max="3886" width="2.3046875" style="5" customWidth="1"/>
    <col min="3887" max="3887" width="1.921875" style="5" customWidth="1"/>
    <col min="3888" max="4095" width="9.23046875" style="5" customWidth="1"/>
    <col min="4096" max="4097" width="6.921875" style="5" customWidth="1"/>
    <col min="4098" max="4098" width="30.765625" style="5" customWidth="1"/>
    <col min="4099" max="4142" width="2.3046875" style="5" customWidth="1"/>
    <col min="4143" max="4143" width="1.921875" style="5" customWidth="1"/>
    <col min="4144" max="4351" width="9.23046875" style="5" customWidth="1"/>
    <col min="4352" max="4353" width="6.921875" style="5" customWidth="1"/>
    <col min="4354" max="4354" width="30.765625" style="5" customWidth="1"/>
    <col min="4355" max="4398" width="2.3046875" style="5" customWidth="1"/>
    <col min="4399" max="4399" width="1.921875" style="5" customWidth="1"/>
    <col min="4400" max="4607" width="9.23046875" style="5" customWidth="1"/>
    <col min="4608" max="4609" width="6.921875" style="5" customWidth="1"/>
    <col min="4610" max="4610" width="30.765625" style="5" customWidth="1"/>
    <col min="4611" max="4654" width="2.3046875" style="5" customWidth="1"/>
    <col min="4655" max="4655" width="1.921875" style="5" customWidth="1"/>
    <col min="4656" max="4863" width="9.23046875" style="5" customWidth="1"/>
    <col min="4864" max="4865" width="6.921875" style="5" customWidth="1"/>
    <col min="4866" max="4866" width="30.765625" style="5" customWidth="1"/>
    <col min="4867" max="4910" width="2.3046875" style="5" customWidth="1"/>
    <col min="4911" max="4911" width="1.921875" style="5" customWidth="1"/>
    <col min="4912" max="5119" width="9.23046875" style="5" customWidth="1"/>
    <col min="5120" max="5121" width="6.921875" style="5" customWidth="1"/>
    <col min="5122" max="5122" width="30.765625" style="5" customWidth="1"/>
    <col min="5123" max="5166" width="2.3046875" style="5" customWidth="1"/>
    <col min="5167" max="5167" width="1.921875" style="5" customWidth="1"/>
    <col min="5168" max="5375" width="9.23046875" style="5" customWidth="1"/>
    <col min="5376" max="5377" width="6.921875" style="5" customWidth="1"/>
    <col min="5378" max="5378" width="30.765625" style="5" customWidth="1"/>
    <col min="5379" max="5422" width="2.3046875" style="5" customWidth="1"/>
    <col min="5423" max="5423" width="1.921875" style="5" customWidth="1"/>
    <col min="5424" max="5631" width="9.23046875" style="5" customWidth="1"/>
    <col min="5632" max="5633" width="6.921875" style="5" customWidth="1"/>
    <col min="5634" max="5634" width="30.765625" style="5" customWidth="1"/>
    <col min="5635" max="5678" width="2.3046875" style="5" customWidth="1"/>
    <col min="5679" max="5679" width="1.921875" style="5" customWidth="1"/>
    <col min="5680" max="5887" width="9.23046875" style="5" customWidth="1"/>
    <col min="5888" max="5889" width="6.921875" style="5" customWidth="1"/>
    <col min="5890" max="5890" width="30.765625" style="5" customWidth="1"/>
    <col min="5891" max="5934" width="2.3046875" style="5" customWidth="1"/>
    <col min="5935" max="5935" width="1.921875" style="5" customWidth="1"/>
    <col min="5936" max="6143" width="9.23046875" style="5" customWidth="1"/>
    <col min="6144" max="6145" width="6.921875" style="5" customWidth="1"/>
    <col min="6146" max="6146" width="30.765625" style="5" customWidth="1"/>
    <col min="6147" max="6190" width="2.3046875" style="5" customWidth="1"/>
    <col min="6191" max="6191" width="1.921875" style="5" customWidth="1"/>
    <col min="6192" max="6399" width="9.23046875" style="5" customWidth="1"/>
    <col min="6400" max="6401" width="6.921875" style="5" customWidth="1"/>
    <col min="6402" max="6402" width="30.765625" style="5" customWidth="1"/>
    <col min="6403" max="6446" width="2.3046875" style="5" customWidth="1"/>
    <col min="6447" max="6447" width="1.921875" style="5" customWidth="1"/>
    <col min="6448" max="6655" width="9.23046875" style="5" customWidth="1"/>
    <col min="6656" max="6657" width="6.921875" style="5" customWidth="1"/>
    <col min="6658" max="6658" width="30.765625" style="5" customWidth="1"/>
    <col min="6659" max="6702" width="2.3046875" style="5" customWidth="1"/>
    <col min="6703" max="6703" width="1.921875" style="5" customWidth="1"/>
    <col min="6704" max="6911" width="9.23046875" style="5" customWidth="1"/>
    <col min="6912" max="6913" width="6.921875" style="5" customWidth="1"/>
    <col min="6914" max="6914" width="30.765625" style="5" customWidth="1"/>
    <col min="6915" max="6958" width="2.3046875" style="5" customWidth="1"/>
    <col min="6959" max="6959" width="1.921875" style="5" customWidth="1"/>
    <col min="6960" max="7167" width="9.23046875" style="5" customWidth="1"/>
    <col min="7168" max="7169" width="6.921875" style="5" customWidth="1"/>
    <col min="7170" max="7170" width="30.765625" style="5" customWidth="1"/>
    <col min="7171" max="7214" width="2.3046875" style="5" customWidth="1"/>
    <col min="7215" max="7215" width="1.921875" style="5" customWidth="1"/>
    <col min="7216" max="7423" width="9.23046875" style="5" customWidth="1"/>
    <col min="7424" max="7425" width="6.921875" style="5" customWidth="1"/>
    <col min="7426" max="7426" width="30.765625" style="5" customWidth="1"/>
    <col min="7427" max="7470" width="2.3046875" style="5" customWidth="1"/>
    <col min="7471" max="7471" width="1.921875" style="5" customWidth="1"/>
    <col min="7472" max="7679" width="9.23046875" style="5" customWidth="1"/>
    <col min="7680" max="7681" width="6.921875" style="5" customWidth="1"/>
    <col min="7682" max="7682" width="30.765625" style="5" customWidth="1"/>
    <col min="7683" max="7726" width="2.3046875" style="5" customWidth="1"/>
    <col min="7727" max="7727" width="1.921875" style="5" customWidth="1"/>
    <col min="7728" max="7935" width="9.23046875" style="5" customWidth="1"/>
    <col min="7936" max="7937" width="6.921875" style="5" customWidth="1"/>
    <col min="7938" max="7938" width="30.765625" style="5" customWidth="1"/>
    <col min="7939" max="7982" width="2.3046875" style="5" customWidth="1"/>
    <col min="7983" max="7983" width="1.921875" style="5" customWidth="1"/>
    <col min="7984" max="8191" width="9.23046875" style="5" customWidth="1"/>
    <col min="8192" max="8193" width="6.921875" style="5" customWidth="1"/>
    <col min="8194" max="8194" width="30.765625" style="5" customWidth="1"/>
    <col min="8195" max="8238" width="2.3046875" style="5" customWidth="1"/>
    <col min="8239" max="8239" width="1.921875" style="5" customWidth="1"/>
    <col min="8240" max="8447" width="9.23046875" style="5" customWidth="1"/>
    <col min="8448" max="8449" width="6.921875" style="5" customWidth="1"/>
    <col min="8450" max="8450" width="30.765625" style="5" customWidth="1"/>
    <col min="8451" max="8494" width="2.3046875" style="5" customWidth="1"/>
    <col min="8495" max="8495" width="1.921875" style="5" customWidth="1"/>
    <col min="8496" max="8703" width="9.23046875" style="5" customWidth="1"/>
    <col min="8704" max="8705" width="6.921875" style="5" customWidth="1"/>
    <col min="8706" max="8706" width="30.765625" style="5" customWidth="1"/>
    <col min="8707" max="8750" width="2.3046875" style="5" customWidth="1"/>
    <col min="8751" max="8751" width="1.921875" style="5" customWidth="1"/>
    <col min="8752" max="8959" width="9.23046875" style="5" customWidth="1"/>
    <col min="8960" max="8961" width="6.921875" style="5" customWidth="1"/>
    <col min="8962" max="8962" width="30.765625" style="5" customWidth="1"/>
    <col min="8963" max="9006" width="2.3046875" style="5" customWidth="1"/>
    <col min="9007" max="9007" width="1.921875" style="5" customWidth="1"/>
    <col min="9008" max="9215" width="9.23046875" style="5" customWidth="1"/>
    <col min="9216" max="9217" width="6.921875" style="5" customWidth="1"/>
    <col min="9218" max="9218" width="30.765625" style="5" customWidth="1"/>
    <col min="9219" max="9262" width="2.3046875" style="5" customWidth="1"/>
    <col min="9263" max="9263" width="1.921875" style="5" customWidth="1"/>
    <col min="9264" max="9471" width="9.23046875" style="5" customWidth="1"/>
    <col min="9472" max="9473" width="6.921875" style="5" customWidth="1"/>
    <col min="9474" max="9474" width="30.765625" style="5" customWidth="1"/>
    <col min="9475" max="9518" width="2.3046875" style="5" customWidth="1"/>
    <col min="9519" max="9519" width="1.921875" style="5" customWidth="1"/>
    <col min="9520" max="9727" width="9.23046875" style="5" customWidth="1"/>
    <col min="9728" max="9729" width="6.921875" style="5" customWidth="1"/>
    <col min="9730" max="9730" width="30.765625" style="5" customWidth="1"/>
    <col min="9731" max="9774" width="2.3046875" style="5" customWidth="1"/>
    <col min="9775" max="9775" width="1.921875" style="5" customWidth="1"/>
    <col min="9776" max="9983" width="9.23046875" style="5" customWidth="1"/>
    <col min="9984" max="9985" width="6.921875" style="5" customWidth="1"/>
    <col min="9986" max="9986" width="30.765625" style="5" customWidth="1"/>
    <col min="9987" max="10030" width="2.3046875" style="5" customWidth="1"/>
    <col min="10031" max="10031" width="1.921875" style="5" customWidth="1"/>
    <col min="10032" max="10239" width="9.23046875" style="5" customWidth="1"/>
    <col min="10240" max="10241" width="6.921875" style="5" customWidth="1"/>
    <col min="10242" max="10242" width="30.765625" style="5" customWidth="1"/>
    <col min="10243" max="10286" width="2.3046875" style="5" customWidth="1"/>
    <col min="10287" max="10287" width="1.921875" style="5" customWidth="1"/>
    <col min="10288" max="10495" width="9.23046875" style="5" customWidth="1"/>
    <col min="10496" max="10497" width="6.921875" style="5" customWidth="1"/>
    <col min="10498" max="10498" width="30.765625" style="5" customWidth="1"/>
    <col min="10499" max="10542" width="2.3046875" style="5" customWidth="1"/>
    <col min="10543" max="10543" width="1.921875" style="5" customWidth="1"/>
    <col min="10544" max="10751" width="9.23046875" style="5" customWidth="1"/>
    <col min="10752" max="10753" width="6.921875" style="5" customWidth="1"/>
    <col min="10754" max="10754" width="30.765625" style="5" customWidth="1"/>
    <col min="10755" max="10798" width="2.3046875" style="5" customWidth="1"/>
    <col min="10799" max="10799" width="1.921875" style="5" customWidth="1"/>
    <col min="10800" max="11007" width="9.23046875" style="5" customWidth="1"/>
    <col min="11008" max="11009" width="6.921875" style="5" customWidth="1"/>
    <col min="11010" max="11010" width="30.765625" style="5" customWidth="1"/>
    <col min="11011" max="11054" width="2.3046875" style="5" customWidth="1"/>
    <col min="11055" max="11055" width="1.921875" style="5" customWidth="1"/>
    <col min="11056" max="11263" width="9.23046875" style="5" customWidth="1"/>
    <col min="11264" max="11265" width="6.921875" style="5" customWidth="1"/>
    <col min="11266" max="11266" width="30.765625" style="5" customWidth="1"/>
    <col min="11267" max="11310" width="2.3046875" style="5" customWidth="1"/>
    <col min="11311" max="11311" width="1.921875" style="5" customWidth="1"/>
    <col min="11312" max="11519" width="9.23046875" style="5" customWidth="1"/>
    <col min="11520" max="11521" width="6.921875" style="5" customWidth="1"/>
    <col min="11522" max="11522" width="30.765625" style="5" customWidth="1"/>
    <col min="11523" max="11566" width="2.3046875" style="5" customWidth="1"/>
    <col min="11567" max="11567" width="1.921875" style="5" customWidth="1"/>
    <col min="11568" max="11775" width="9.23046875" style="5" customWidth="1"/>
    <col min="11776" max="11777" width="6.921875" style="5" customWidth="1"/>
    <col min="11778" max="11778" width="30.765625" style="5" customWidth="1"/>
    <col min="11779" max="11822" width="2.3046875" style="5" customWidth="1"/>
    <col min="11823" max="11823" width="1.921875" style="5" customWidth="1"/>
    <col min="11824" max="12031" width="9.23046875" style="5" customWidth="1"/>
    <col min="12032" max="12033" width="6.921875" style="5" customWidth="1"/>
    <col min="12034" max="12034" width="30.765625" style="5" customWidth="1"/>
    <col min="12035" max="12078" width="2.3046875" style="5" customWidth="1"/>
    <col min="12079" max="12079" width="1.921875" style="5" customWidth="1"/>
    <col min="12080" max="12287" width="9.23046875" style="5" customWidth="1"/>
    <col min="12288" max="12289" width="6.921875" style="5" customWidth="1"/>
    <col min="12290" max="12290" width="30.765625" style="5" customWidth="1"/>
    <col min="12291" max="12334" width="2.3046875" style="5" customWidth="1"/>
    <col min="12335" max="12335" width="1.921875" style="5" customWidth="1"/>
    <col min="12336" max="12543" width="9.23046875" style="5" customWidth="1"/>
    <col min="12544" max="12545" width="6.921875" style="5" customWidth="1"/>
    <col min="12546" max="12546" width="30.765625" style="5" customWidth="1"/>
    <col min="12547" max="12590" width="2.3046875" style="5" customWidth="1"/>
    <col min="12591" max="12591" width="1.921875" style="5" customWidth="1"/>
    <col min="12592" max="12799" width="9.23046875" style="5" customWidth="1"/>
    <col min="12800" max="12801" width="6.921875" style="5" customWidth="1"/>
    <col min="12802" max="12802" width="30.765625" style="5" customWidth="1"/>
    <col min="12803" max="12846" width="2.3046875" style="5" customWidth="1"/>
    <col min="12847" max="12847" width="1.921875" style="5" customWidth="1"/>
    <col min="12848" max="13055" width="9.23046875" style="5" customWidth="1"/>
    <col min="13056" max="13057" width="6.921875" style="5" customWidth="1"/>
    <col min="13058" max="13058" width="30.765625" style="5" customWidth="1"/>
    <col min="13059" max="13102" width="2.3046875" style="5" customWidth="1"/>
    <col min="13103" max="13103" width="1.921875" style="5" customWidth="1"/>
    <col min="13104" max="13311" width="9.23046875" style="5" customWidth="1"/>
    <col min="13312" max="13313" width="6.921875" style="5" customWidth="1"/>
    <col min="13314" max="13314" width="30.765625" style="5" customWidth="1"/>
    <col min="13315" max="13358" width="2.3046875" style="5" customWidth="1"/>
    <col min="13359" max="13359" width="1.921875" style="5" customWidth="1"/>
    <col min="13360" max="13567" width="9.23046875" style="5" customWidth="1"/>
    <col min="13568" max="13569" width="6.921875" style="5" customWidth="1"/>
    <col min="13570" max="13570" width="30.765625" style="5" customWidth="1"/>
    <col min="13571" max="13614" width="2.3046875" style="5" customWidth="1"/>
    <col min="13615" max="13615" width="1.921875" style="5" customWidth="1"/>
    <col min="13616" max="13823" width="9.23046875" style="5" customWidth="1"/>
    <col min="13824" max="13825" width="6.921875" style="5" customWidth="1"/>
    <col min="13826" max="13826" width="30.765625" style="5" customWidth="1"/>
    <col min="13827" max="13870" width="2.3046875" style="5" customWidth="1"/>
    <col min="13871" max="13871" width="1.921875" style="5" customWidth="1"/>
    <col min="13872" max="14079" width="9.23046875" style="5" customWidth="1"/>
    <col min="14080" max="14081" width="6.921875" style="5" customWidth="1"/>
    <col min="14082" max="14082" width="30.765625" style="5" customWidth="1"/>
    <col min="14083" max="14126" width="2.3046875" style="5" customWidth="1"/>
    <col min="14127" max="14127" width="1.921875" style="5" customWidth="1"/>
    <col min="14128" max="14335" width="9.23046875" style="5" customWidth="1"/>
    <col min="14336" max="14337" width="6.921875" style="5" customWidth="1"/>
    <col min="14338" max="14338" width="30.765625" style="5" customWidth="1"/>
    <col min="14339" max="14382" width="2.3046875" style="5" customWidth="1"/>
    <col min="14383" max="14383" width="1.921875" style="5" customWidth="1"/>
    <col min="14384" max="14591" width="9.23046875" style="5" customWidth="1"/>
    <col min="14592" max="14593" width="6.921875" style="5" customWidth="1"/>
    <col min="14594" max="14594" width="30.765625" style="5" customWidth="1"/>
    <col min="14595" max="14638" width="2.3046875" style="5" customWidth="1"/>
    <col min="14639" max="14639" width="1.921875" style="5" customWidth="1"/>
    <col min="14640" max="14847" width="9.23046875" style="5" customWidth="1"/>
    <col min="14848" max="14849" width="6.921875" style="5" customWidth="1"/>
    <col min="14850" max="14850" width="30.765625" style="5" customWidth="1"/>
    <col min="14851" max="14894" width="2.3046875" style="5" customWidth="1"/>
    <col min="14895" max="14895" width="1.921875" style="5" customWidth="1"/>
    <col min="14896" max="15103" width="9.23046875" style="5" customWidth="1"/>
    <col min="15104" max="15105" width="6.921875" style="5" customWidth="1"/>
    <col min="15106" max="15106" width="30.765625" style="5" customWidth="1"/>
    <col min="15107" max="15150" width="2.3046875" style="5" customWidth="1"/>
    <col min="15151" max="15151" width="1.921875" style="5" customWidth="1"/>
    <col min="15152" max="15359" width="9.23046875" style="5" customWidth="1"/>
    <col min="15360" max="15361" width="6.921875" style="5" customWidth="1"/>
    <col min="15362" max="15362" width="30.765625" style="5" customWidth="1"/>
    <col min="15363" max="15406" width="2.3046875" style="5" customWidth="1"/>
    <col min="15407" max="15407" width="1.921875" style="5" customWidth="1"/>
    <col min="15408" max="15615" width="9.23046875" style="5" customWidth="1"/>
    <col min="15616" max="15617" width="6.921875" style="5" customWidth="1"/>
    <col min="15618" max="15618" width="30.765625" style="5" customWidth="1"/>
    <col min="15619" max="15662" width="2.3046875" style="5" customWidth="1"/>
    <col min="15663" max="15663" width="1.921875" style="5" customWidth="1"/>
    <col min="15664" max="15871" width="9.23046875" style="5" customWidth="1"/>
    <col min="15872" max="15873" width="6.921875" style="5" customWidth="1"/>
    <col min="15874" max="15874" width="30.765625" style="5" customWidth="1"/>
    <col min="15875" max="15918" width="2.3046875" style="5" customWidth="1"/>
    <col min="15919" max="15919" width="1.921875" style="5" customWidth="1"/>
    <col min="15920" max="16127" width="9.23046875" style="5" customWidth="1"/>
    <col min="16128" max="16129" width="6.921875" style="5" customWidth="1"/>
    <col min="16130" max="16130" width="30.765625" style="5" customWidth="1"/>
    <col min="16131" max="16174" width="2.3046875" style="5" customWidth="1"/>
    <col min="16175" max="16175" width="1.921875" style="5" customWidth="1"/>
    <col min="16176" max="16384" width="9.23046875" style="5" customWidth="1"/>
  </cols>
  <sheetData>
    <row r="1" spans="1:49" s="15" customFormat="1" ht="50.05" customHeight="1">
      <c r="A1" s="152" t="s">
        <v>75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3"/>
      <c r="AG1" s="152"/>
      <c r="AH1" s="152"/>
      <c r="AI1" s="152"/>
      <c r="AJ1" s="152"/>
      <c r="AK1" s="152"/>
      <c r="AL1" s="153"/>
      <c r="AM1" s="152"/>
      <c r="AN1" s="153"/>
      <c r="AO1" s="152"/>
      <c r="AP1" s="152"/>
      <c r="AQ1" s="152"/>
      <c r="AR1" s="153"/>
      <c r="AS1" s="152"/>
      <c r="AT1" s="152"/>
      <c r="AU1" s="152"/>
      <c r="AV1" s="154"/>
      <c r="AW1" s="234"/>
    </row>
    <row r="2" spans="1:49" s="6" customFormat="1" ht="20.05" customHeight="1">
      <c r="A2" s="11"/>
      <c r="B2" s="14"/>
      <c r="Z2" s="11"/>
      <c r="AA2" s="11"/>
      <c r="AB2" s="280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55"/>
      <c r="AW2" s="234"/>
    </row>
    <row r="3" spans="1:49" s="12" customFormat="1" ht="30" customHeight="1">
      <c r="A3" s="156" t="s">
        <v>76</v>
      </c>
      <c r="B3" s="156"/>
      <c r="C3" s="156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280"/>
      <c r="X3" s="313" t="s">
        <v>322</v>
      </c>
      <c r="Y3" s="313"/>
      <c r="Z3" s="313"/>
      <c r="AA3" s="313"/>
      <c r="AB3" s="313"/>
      <c r="AC3" s="313"/>
      <c r="AD3" s="312" t="s">
        <v>320</v>
      </c>
      <c r="AE3" s="312"/>
      <c r="AF3" s="312"/>
      <c r="AG3" s="312"/>
      <c r="AH3" s="312"/>
      <c r="AI3" s="312"/>
      <c r="AJ3" s="311" t="s">
        <v>323</v>
      </c>
      <c r="AK3" s="311"/>
      <c r="AL3" s="311"/>
      <c r="AM3" s="311"/>
      <c r="AN3" s="311"/>
      <c r="AO3" s="311"/>
      <c r="AP3" s="310" t="s">
        <v>321</v>
      </c>
      <c r="AQ3" s="310"/>
      <c r="AR3" s="310"/>
      <c r="AS3" s="310"/>
      <c r="AT3" s="310"/>
      <c r="AU3" s="310"/>
      <c r="AV3" s="157"/>
      <c r="AW3" s="234"/>
    </row>
    <row r="4" spans="1:49" s="6" customFormat="1" ht="40" customHeight="1">
      <c r="A4" s="335" t="s">
        <v>77</v>
      </c>
      <c r="B4" s="328" t="s">
        <v>78</v>
      </c>
      <c r="C4" s="328" t="s">
        <v>79</v>
      </c>
      <c r="D4" s="337" t="s">
        <v>8</v>
      </c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338"/>
      <c r="AN4" s="338"/>
      <c r="AO4" s="338"/>
      <c r="AP4" s="338"/>
      <c r="AQ4" s="338"/>
      <c r="AR4" s="338"/>
      <c r="AS4" s="338"/>
      <c r="AT4" s="338"/>
      <c r="AU4" s="339"/>
      <c r="AV4" s="155"/>
      <c r="AW4" s="234"/>
    </row>
    <row r="5" spans="1:49" s="6" customFormat="1" ht="40" customHeight="1">
      <c r="A5" s="336"/>
      <c r="B5" s="329"/>
      <c r="C5" s="329"/>
      <c r="D5" s="325"/>
      <c r="E5" s="315"/>
      <c r="F5" s="325"/>
      <c r="G5" s="315"/>
      <c r="H5" s="325"/>
      <c r="I5" s="315"/>
      <c r="J5" s="325"/>
      <c r="K5" s="315"/>
      <c r="L5" s="325"/>
      <c r="M5" s="315"/>
      <c r="N5" s="325"/>
      <c r="O5" s="315"/>
      <c r="P5" s="325"/>
      <c r="Q5" s="315"/>
      <c r="R5" s="325"/>
      <c r="S5" s="315"/>
      <c r="T5" s="325"/>
      <c r="U5" s="315"/>
      <c r="V5" s="325"/>
      <c r="W5" s="315"/>
      <c r="X5" s="325"/>
      <c r="Y5" s="315"/>
      <c r="Z5" s="325"/>
      <c r="AA5" s="315"/>
      <c r="AB5" s="325"/>
      <c r="AC5" s="315"/>
      <c r="AD5" s="325"/>
      <c r="AE5" s="315"/>
      <c r="AF5" s="325"/>
      <c r="AG5" s="315"/>
      <c r="AH5" s="325"/>
      <c r="AI5" s="315"/>
      <c r="AJ5" s="325"/>
      <c r="AK5" s="315"/>
      <c r="AL5" s="325"/>
      <c r="AM5" s="315"/>
      <c r="AN5" s="325"/>
      <c r="AO5" s="315"/>
      <c r="AP5" s="325"/>
      <c r="AQ5" s="315"/>
      <c r="AR5" s="325"/>
      <c r="AS5" s="315"/>
      <c r="AT5" s="317"/>
      <c r="AU5" s="315"/>
      <c r="AV5" s="155"/>
      <c r="AW5" s="234"/>
    </row>
    <row r="6" spans="1:49" s="6" customFormat="1" ht="40" customHeight="1">
      <c r="A6" s="340" t="s">
        <v>80</v>
      </c>
      <c r="B6" s="322" t="s">
        <v>81</v>
      </c>
      <c r="C6" s="158" t="s">
        <v>82</v>
      </c>
      <c r="D6" s="316" t="s">
        <v>315</v>
      </c>
      <c r="E6" s="315"/>
      <c r="F6" s="316"/>
      <c r="G6" s="315"/>
      <c r="H6" s="316"/>
      <c r="I6" s="315"/>
      <c r="J6" s="316"/>
      <c r="K6" s="315"/>
      <c r="L6" s="316"/>
      <c r="M6" s="315"/>
      <c r="N6" s="316"/>
      <c r="O6" s="315"/>
      <c r="P6" s="316"/>
      <c r="Q6" s="315"/>
      <c r="R6" s="316"/>
      <c r="S6" s="315"/>
      <c r="T6" s="316"/>
      <c r="U6" s="315"/>
      <c r="V6" s="316"/>
      <c r="W6" s="315"/>
      <c r="X6" s="316"/>
      <c r="Y6" s="315"/>
      <c r="Z6" s="316"/>
      <c r="AA6" s="315"/>
      <c r="AB6" s="316"/>
      <c r="AC6" s="315"/>
      <c r="AD6" s="316"/>
      <c r="AE6" s="315"/>
      <c r="AF6" s="316"/>
      <c r="AG6" s="315"/>
      <c r="AH6" s="316"/>
      <c r="AI6" s="315"/>
      <c r="AJ6" s="316"/>
      <c r="AK6" s="315"/>
      <c r="AL6" s="316"/>
      <c r="AM6" s="315"/>
      <c r="AN6" s="316"/>
      <c r="AO6" s="315"/>
      <c r="AP6" s="316"/>
      <c r="AQ6" s="315"/>
      <c r="AR6" s="316"/>
      <c r="AS6" s="315"/>
      <c r="AT6" s="316"/>
      <c r="AU6" s="315"/>
      <c r="AV6" s="155"/>
      <c r="AW6" s="234"/>
    </row>
    <row r="7" spans="1:49" s="6" customFormat="1" ht="40" customHeight="1">
      <c r="A7" s="341"/>
      <c r="B7" s="323"/>
      <c r="C7" s="158" t="s">
        <v>84</v>
      </c>
      <c r="D7" s="316" t="s">
        <v>83</v>
      </c>
      <c r="E7" s="315"/>
      <c r="F7" s="316"/>
      <c r="G7" s="315"/>
      <c r="H7" s="316"/>
      <c r="I7" s="315"/>
      <c r="J7" s="316"/>
      <c r="K7" s="315"/>
      <c r="L7" s="316"/>
      <c r="M7" s="315"/>
      <c r="N7" s="316"/>
      <c r="O7" s="315"/>
      <c r="P7" s="316"/>
      <c r="Q7" s="315"/>
      <c r="R7" s="316"/>
      <c r="S7" s="315"/>
      <c r="T7" s="316"/>
      <c r="U7" s="315"/>
      <c r="V7" s="316"/>
      <c r="W7" s="315"/>
      <c r="X7" s="316"/>
      <c r="Y7" s="315"/>
      <c r="Z7" s="316"/>
      <c r="AA7" s="315"/>
      <c r="AB7" s="316"/>
      <c r="AC7" s="315"/>
      <c r="AD7" s="316"/>
      <c r="AE7" s="315"/>
      <c r="AF7" s="318"/>
      <c r="AG7" s="315"/>
      <c r="AH7" s="316"/>
      <c r="AI7" s="315"/>
      <c r="AJ7" s="316"/>
      <c r="AK7" s="315"/>
      <c r="AL7" s="318"/>
      <c r="AM7" s="315"/>
      <c r="AN7" s="318"/>
      <c r="AO7" s="315"/>
      <c r="AP7" s="316"/>
      <c r="AQ7" s="315"/>
      <c r="AR7" s="318"/>
      <c r="AS7" s="315"/>
      <c r="AT7" s="316"/>
      <c r="AU7" s="315"/>
      <c r="AV7" s="155"/>
      <c r="AW7" s="234"/>
    </row>
    <row r="8" spans="1:49" s="6" customFormat="1" ht="40" customHeight="1">
      <c r="A8" s="341"/>
      <c r="B8" s="324"/>
      <c r="C8" s="158" t="s">
        <v>85</v>
      </c>
      <c r="D8" s="316" t="s">
        <v>83</v>
      </c>
      <c r="E8" s="315"/>
      <c r="F8" s="316"/>
      <c r="G8" s="315"/>
      <c r="H8" s="316"/>
      <c r="I8" s="315"/>
      <c r="J8" s="316"/>
      <c r="K8" s="315"/>
      <c r="L8" s="316"/>
      <c r="M8" s="315"/>
      <c r="N8" s="316"/>
      <c r="O8" s="315"/>
      <c r="P8" s="316"/>
      <c r="Q8" s="315"/>
      <c r="R8" s="316"/>
      <c r="S8" s="315"/>
      <c r="T8" s="316"/>
      <c r="U8" s="315"/>
      <c r="V8" s="316"/>
      <c r="W8" s="315"/>
      <c r="X8" s="316"/>
      <c r="Y8" s="315"/>
      <c r="Z8" s="316"/>
      <c r="AA8" s="315"/>
      <c r="AB8" s="316"/>
      <c r="AC8" s="315"/>
      <c r="AD8" s="316"/>
      <c r="AE8" s="315"/>
      <c r="AF8" s="318"/>
      <c r="AG8" s="315"/>
      <c r="AH8" s="316"/>
      <c r="AI8" s="315"/>
      <c r="AJ8" s="316"/>
      <c r="AK8" s="315"/>
      <c r="AL8" s="318"/>
      <c r="AM8" s="315"/>
      <c r="AN8" s="318"/>
      <c r="AO8" s="315"/>
      <c r="AP8" s="316"/>
      <c r="AQ8" s="315"/>
      <c r="AR8" s="318"/>
      <c r="AS8" s="315"/>
      <c r="AT8" s="316"/>
      <c r="AU8" s="315"/>
      <c r="AV8" s="155"/>
      <c r="AW8" s="234"/>
    </row>
    <row r="9" spans="1:49" s="6" customFormat="1" ht="40" customHeight="1">
      <c r="A9" s="341"/>
      <c r="B9" s="322" t="s">
        <v>86</v>
      </c>
      <c r="C9" s="158" t="s">
        <v>87</v>
      </c>
      <c r="D9" s="316"/>
      <c r="E9" s="315"/>
      <c r="F9" s="316" t="s">
        <v>83</v>
      </c>
      <c r="G9" s="315"/>
      <c r="H9" s="316"/>
      <c r="I9" s="315"/>
      <c r="J9" s="316"/>
      <c r="K9" s="315"/>
      <c r="L9" s="316"/>
      <c r="M9" s="315"/>
      <c r="N9" s="316"/>
      <c r="O9" s="315"/>
      <c r="P9" s="316"/>
      <c r="Q9" s="315"/>
      <c r="R9" s="316"/>
      <c r="S9" s="315"/>
      <c r="T9" s="316"/>
      <c r="U9" s="315"/>
      <c r="V9" s="316"/>
      <c r="W9" s="315"/>
      <c r="X9" s="316"/>
      <c r="Y9" s="315"/>
      <c r="Z9" s="316"/>
      <c r="AA9" s="315"/>
      <c r="AB9" s="316"/>
      <c r="AC9" s="315"/>
      <c r="AD9" s="316"/>
      <c r="AE9" s="315"/>
      <c r="AF9" s="318"/>
      <c r="AG9" s="315"/>
      <c r="AH9" s="316"/>
      <c r="AI9" s="315"/>
      <c r="AJ9" s="316"/>
      <c r="AK9" s="315"/>
      <c r="AL9" s="318"/>
      <c r="AM9" s="315"/>
      <c r="AN9" s="318"/>
      <c r="AO9" s="315"/>
      <c r="AP9" s="316"/>
      <c r="AQ9" s="315"/>
      <c r="AR9" s="318"/>
      <c r="AS9" s="315"/>
      <c r="AT9" s="316"/>
      <c r="AU9" s="315"/>
      <c r="AV9" s="159"/>
      <c r="AW9" s="235"/>
    </row>
    <row r="10" spans="1:49" s="6" customFormat="1" ht="40" customHeight="1">
      <c r="A10" s="341"/>
      <c r="B10" s="323"/>
      <c r="C10" s="160" t="s">
        <v>88</v>
      </c>
      <c r="D10" s="319"/>
      <c r="E10" s="315"/>
      <c r="F10" s="319"/>
      <c r="G10" s="315"/>
      <c r="H10" s="319"/>
      <c r="I10" s="315"/>
      <c r="J10" s="319"/>
      <c r="K10" s="315"/>
      <c r="L10" s="319"/>
      <c r="M10" s="315"/>
      <c r="N10" s="319"/>
      <c r="O10" s="315"/>
      <c r="P10" s="319"/>
      <c r="Q10" s="315"/>
      <c r="R10" s="319"/>
      <c r="S10" s="315"/>
      <c r="T10" s="319"/>
      <c r="U10" s="315"/>
      <c r="V10" s="319"/>
      <c r="W10" s="315"/>
      <c r="X10" s="319"/>
      <c r="Y10" s="315"/>
      <c r="Z10" s="319"/>
      <c r="AA10" s="315"/>
      <c r="AB10" s="319"/>
      <c r="AC10" s="315"/>
      <c r="AD10" s="319"/>
      <c r="AE10" s="315"/>
      <c r="AF10" s="319"/>
      <c r="AG10" s="315"/>
      <c r="AH10" s="319"/>
      <c r="AI10" s="315"/>
      <c r="AJ10" s="319"/>
      <c r="AK10" s="315"/>
      <c r="AL10" s="319"/>
      <c r="AM10" s="315"/>
      <c r="AN10" s="8" t="s">
        <v>89</v>
      </c>
      <c r="AO10" s="8"/>
      <c r="AP10" s="161"/>
      <c r="AQ10" s="161"/>
      <c r="AR10" s="8"/>
      <c r="AS10" s="8"/>
      <c r="AT10" s="8"/>
      <c r="AU10" s="162"/>
      <c r="AV10" s="172"/>
      <c r="AW10" s="236"/>
    </row>
    <row r="11" spans="1:49" s="6" customFormat="1" ht="40" customHeight="1">
      <c r="A11" s="341"/>
      <c r="B11" s="323"/>
      <c r="C11" s="158" t="s">
        <v>90</v>
      </c>
      <c r="D11" s="316"/>
      <c r="E11" s="315"/>
      <c r="F11" s="316" t="s">
        <v>83</v>
      </c>
      <c r="G11" s="315"/>
      <c r="H11" s="316"/>
      <c r="I11" s="315"/>
      <c r="J11" s="316"/>
      <c r="K11" s="315"/>
      <c r="L11" s="316"/>
      <c r="M11" s="315"/>
      <c r="N11" s="316"/>
      <c r="O11" s="315"/>
      <c r="P11" s="316"/>
      <c r="Q11" s="315"/>
      <c r="R11" s="316"/>
      <c r="S11" s="315"/>
      <c r="T11" s="316"/>
      <c r="U11" s="315"/>
      <c r="V11" s="316"/>
      <c r="W11" s="315"/>
      <c r="X11" s="316"/>
      <c r="Y11" s="315"/>
      <c r="Z11" s="316"/>
      <c r="AA11" s="315"/>
      <c r="AB11" s="316"/>
      <c r="AC11" s="315"/>
      <c r="AD11" s="316"/>
      <c r="AE11" s="315"/>
      <c r="AF11" s="316"/>
      <c r="AG11" s="315"/>
      <c r="AH11" s="316"/>
      <c r="AI11" s="315"/>
      <c r="AJ11" s="316"/>
      <c r="AK11" s="315"/>
      <c r="AL11" s="316"/>
      <c r="AM11" s="315"/>
      <c r="AN11" s="316"/>
      <c r="AO11" s="315"/>
      <c r="AP11" s="316"/>
      <c r="AQ11" s="315"/>
      <c r="AR11" s="316"/>
      <c r="AS11" s="315"/>
      <c r="AT11" s="316"/>
      <c r="AU11" s="315"/>
      <c r="AV11" s="10"/>
      <c r="AW11" s="236"/>
    </row>
    <row r="12" spans="1:49" s="6" customFormat="1" ht="40" customHeight="1">
      <c r="A12" s="341"/>
      <c r="B12" s="324"/>
      <c r="C12" s="164" t="s">
        <v>91</v>
      </c>
      <c r="D12" s="316"/>
      <c r="E12" s="315"/>
      <c r="F12" s="316" t="s">
        <v>83</v>
      </c>
      <c r="G12" s="315"/>
      <c r="H12" s="316"/>
      <c r="I12" s="315"/>
      <c r="J12" s="316"/>
      <c r="K12" s="315"/>
      <c r="L12" s="316"/>
      <c r="M12" s="315"/>
      <c r="N12" s="316"/>
      <c r="O12" s="315"/>
      <c r="P12" s="316"/>
      <c r="Q12" s="315"/>
      <c r="R12" s="316"/>
      <c r="S12" s="315"/>
      <c r="T12" s="316"/>
      <c r="U12" s="315"/>
      <c r="V12" s="316"/>
      <c r="W12" s="315"/>
      <c r="X12" s="316"/>
      <c r="Y12" s="315"/>
      <c r="Z12" s="316"/>
      <c r="AA12" s="315"/>
      <c r="AB12" s="316"/>
      <c r="AC12" s="315"/>
      <c r="AD12" s="316"/>
      <c r="AE12" s="315"/>
      <c r="AF12" s="318"/>
      <c r="AG12" s="315"/>
      <c r="AH12" s="316"/>
      <c r="AI12" s="315"/>
      <c r="AJ12" s="316"/>
      <c r="AK12" s="315"/>
      <c r="AL12" s="318"/>
      <c r="AM12" s="315"/>
      <c r="AN12" s="318"/>
      <c r="AO12" s="315"/>
      <c r="AP12" s="316"/>
      <c r="AQ12" s="315"/>
      <c r="AR12" s="318"/>
      <c r="AS12" s="315"/>
      <c r="AT12" s="316"/>
      <c r="AU12" s="315"/>
      <c r="AV12" s="165"/>
      <c r="AW12" s="236"/>
    </row>
    <row r="13" spans="1:49" s="6" customFormat="1" ht="40" customHeight="1">
      <c r="A13" s="341"/>
      <c r="B13" s="333" t="s">
        <v>92</v>
      </c>
      <c r="C13" s="158" t="s">
        <v>93</v>
      </c>
      <c r="D13" s="316"/>
      <c r="E13" s="315"/>
      <c r="F13" s="316"/>
      <c r="G13" s="315"/>
      <c r="H13" s="316" t="s">
        <v>83</v>
      </c>
      <c r="I13" s="315"/>
      <c r="J13" s="316"/>
      <c r="K13" s="315"/>
      <c r="L13" s="316"/>
      <c r="M13" s="315"/>
      <c r="N13" s="316"/>
      <c r="O13" s="315"/>
      <c r="P13" s="316"/>
      <c r="Q13" s="315"/>
      <c r="R13" s="316"/>
      <c r="S13" s="315"/>
      <c r="T13" s="316"/>
      <c r="U13" s="315"/>
      <c r="V13" s="316"/>
      <c r="W13" s="315"/>
      <c r="X13" s="316"/>
      <c r="Y13" s="315"/>
      <c r="Z13" s="316"/>
      <c r="AA13" s="315"/>
      <c r="AB13" s="316"/>
      <c r="AC13" s="315"/>
      <c r="AD13" s="316"/>
      <c r="AE13" s="315"/>
      <c r="AF13" s="318"/>
      <c r="AG13" s="315"/>
      <c r="AH13" s="316"/>
      <c r="AI13" s="315"/>
      <c r="AJ13" s="316"/>
      <c r="AK13" s="315"/>
      <c r="AL13" s="318"/>
      <c r="AM13" s="315"/>
      <c r="AN13" s="318"/>
      <c r="AO13" s="315"/>
      <c r="AP13" s="316"/>
      <c r="AQ13" s="315"/>
      <c r="AR13" s="318"/>
      <c r="AS13" s="315"/>
      <c r="AT13" s="316"/>
      <c r="AU13" s="315"/>
      <c r="AV13" s="165"/>
      <c r="AW13" s="236"/>
    </row>
    <row r="14" spans="1:49" s="6" customFormat="1" ht="40" customHeight="1">
      <c r="A14" s="341"/>
      <c r="B14" s="323"/>
      <c r="C14" s="158" t="s">
        <v>94</v>
      </c>
      <c r="D14" s="316"/>
      <c r="E14" s="315"/>
      <c r="F14" s="316"/>
      <c r="G14" s="315"/>
      <c r="H14" s="316" t="s">
        <v>83</v>
      </c>
      <c r="I14" s="315"/>
      <c r="J14" s="316"/>
      <c r="K14" s="315"/>
      <c r="L14" s="316"/>
      <c r="M14" s="315"/>
      <c r="N14" s="326"/>
      <c r="O14" s="315"/>
      <c r="P14" s="316"/>
      <c r="Q14" s="315"/>
      <c r="R14" s="316"/>
      <c r="S14" s="315"/>
      <c r="T14" s="316"/>
      <c r="U14" s="315"/>
      <c r="V14" s="316"/>
      <c r="W14" s="315"/>
      <c r="X14" s="316"/>
      <c r="Y14" s="315"/>
      <c r="Z14" s="316"/>
      <c r="AA14" s="315"/>
      <c r="AB14" s="316"/>
      <c r="AC14" s="315"/>
      <c r="AD14" s="316"/>
      <c r="AE14" s="315"/>
      <c r="AF14" s="318"/>
      <c r="AG14" s="315"/>
      <c r="AH14" s="316"/>
      <c r="AI14" s="315"/>
      <c r="AJ14" s="316"/>
      <c r="AK14" s="315"/>
      <c r="AL14" s="318"/>
      <c r="AM14" s="315"/>
      <c r="AN14" s="318"/>
      <c r="AO14" s="315"/>
      <c r="AP14" s="316"/>
      <c r="AQ14" s="315"/>
      <c r="AR14" s="318"/>
      <c r="AS14" s="315"/>
      <c r="AT14" s="316"/>
      <c r="AU14" s="315"/>
      <c r="AV14" s="165"/>
      <c r="AW14" s="236"/>
    </row>
    <row r="15" spans="1:49" s="6" customFormat="1" ht="40" customHeight="1">
      <c r="A15" s="341"/>
      <c r="B15" s="324"/>
      <c r="C15" s="158" t="s">
        <v>95</v>
      </c>
      <c r="D15" s="316"/>
      <c r="E15" s="315"/>
      <c r="F15" s="316"/>
      <c r="G15" s="315"/>
      <c r="H15" s="316" t="s">
        <v>83</v>
      </c>
      <c r="I15" s="315"/>
      <c r="J15" s="316"/>
      <c r="K15" s="315"/>
      <c r="L15" s="316"/>
      <c r="M15" s="315"/>
      <c r="N15" s="316"/>
      <c r="O15" s="315"/>
      <c r="P15" s="316"/>
      <c r="Q15" s="315"/>
      <c r="R15" s="316"/>
      <c r="S15" s="315"/>
      <c r="T15" s="316"/>
      <c r="U15" s="315"/>
      <c r="V15" s="316"/>
      <c r="W15" s="315"/>
      <c r="X15" s="316"/>
      <c r="Y15" s="315"/>
      <c r="Z15" s="316"/>
      <c r="AA15" s="315"/>
      <c r="AB15" s="316"/>
      <c r="AC15" s="315"/>
      <c r="AD15" s="316"/>
      <c r="AE15" s="315"/>
      <c r="AF15" s="316"/>
      <c r="AG15" s="315"/>
      <c r="AH15" s="316"/>
      <c r="AI15" s="315"/>
      <c r="AJ15" s="316"/>
      <c r="AK15" s="315"/>
      <c r="AL15" s="316"/>
      <c r="AM15" s="315"/>
      <c r="AN15" s="316"/>
      <c r="AO15" s="315"/>
      <c r="AP15" s="316"/>
      <c r="AQ15" s="315"/>
      <c r="AR15" s="316"/>
      <c r="AS15" s="315"/>
      <c r="AT15" s="316"/>
      <c r="AU15" s="315"/>
      <c r="AV15" s="163"/>
      <c r="AW15" s="236"/>
    </row>
    <row r="16" spans="1:49" s="6" customFormat="1" ht="40" customHeight="1">
      <c r="A16" s="341"/>
      <c r="B16" s="322" t="s">
        <v>96</v>
      </c>
      <c r="C16" s="166" t="s">
        <v>97</v>
      </c>
      <c r="D16" s="314"/>
      <c r="E16" s="315"/>
      <c r="F16" s="314"/>
      <c r="G16" s="315"/>
      <c r="H16" s="314"/>
      <c r="I16" s="315"/>
      <c r="J16" s="314"/>
      <c r="K16" s="315"/>
      <c r="L16" s="314"/>
      <c r="M16" s="315"/>
      <c r="N16" s="314"/>
      <c r="O16" s="315"/>
      <c r="P16" s="314"/>
      <c r="Q16" s="315"/>
      <c r="R16" s="314"/>
      <c r="S16" s="315"/>
      <c r="T16" s="314"/>
      <c r="U16" s="315"/>
      <c r="V16" s="314"/>
      <c r="W16" s="315"/>
      <c r="X16" s="314"/>
      <c r="Y16" s="315"/>
      <c r="Z16" s="314"/>
      <c r="AA16" s="315"/>
      <c r="AB16" s="314"/>
      <c r="AC16" s="315"/>
      <c r="AD16" s="314"/>
      <c r="AE16" s="315"/>
      <c r="AF16" s="314"/>
      <c r="AG16" s="315"/>
      <c r="AH16" s="314"/>
      <c r="AI16" s="315"/>
      <c r="AJ16" s="314"/>
      <c r="AK16" s="315"/>
      <c r="AL16" s="314"/>
      <c r="AM16" s="315"/>
      <c r="AN16" s="16" t="s">
        <v>98</v>
      </c>
      <c r="AO16" s="9"/>
      <c r="AP16" s="16"/>
      <c r="AQ16" s="9"/>
      <c r="AR16" s="16"/>
      <c r="AS16" s="9"/>
      <c r="AT16" s="16"/>
      <c r="AU16" s="189"/>
      <c r="AV16" s="167"/>
      <c r="AW16" s="234"/>
    </row>
    <row r="17" spans="1:49" s="6" customFormat="1" ht="40" customHeight="1">
      <c r="A17" s="341"/>
      <c r="B17" s="323"/>
      <c r="C17" s="168" t="s">
        <v>99</v>
      </c>
      <c r="D17" s="314"/>
      <c r="E17" s="315"/>
      <c r="F17" s="314"/>
      <c r="G17" s="315"/>
      <c r="H17" s="314"/>
      <c r="I17" s="315"/>
      <c r="J17" s="314"/>
      <c r="K17" s="315"/>
      <c r="L17" s="314"/>
      <c r="M17" s="315"/>
      <c r="N17" s="314"/>
      <c r="O17" s="315"/>
      <c r="P17" s="314"/>
      <c r="Q17" s="315"/>
      <c r="R17" s="314"/>
      <c r="S17" s="315"/>
      <c r="T17" s="314"/>
      <c r="U17" s="315"/>
      <c r="V17" s="314"/>
      <c r="W17" s="315"/>
      <c r="X17" s="314"/>
      <c r="Y17" s="315"/>
      <c r="Z17" s="314"/>
      <c r="AA17" s="315"/>
      <c r="AB17" s="314"/>
      <c r="AC17" s="315"/>
      <c r="AD17" s="314"/>
      <c r="AE17" s="315"/>
      <c r="AF17" s="314"/>
      <c r="AG17" s="315"/>
      <c r="AH17" s="314"/>
      <c r="AI17" s="315"/>
      <c r="AJ17" s="314"/>
      <c r="AK17" s="315"/>
      <c r="AL17" s="314"/>
      <c r="AM17" s="315"/>
      <c r="AN17" s="16" t="s">
        <v>98</v>
      </c>
      <c r="AO17" s="9"/>
      <c r="AP17" s="16"/>
      <c r="AQ17" s="9"/>
      <c r="AR17" s="16"/>
      <c r="AS17" s="9"/>
      <c r="AT17" s="16"/>
      <c r="AU17" s="189"/>
      <c r="AV17" s="167"/>
      <c r="AW17" s="234"/>
    </row>
    <row r="18" spans="1:49" s="6" customFormat="1" ht="40" customHeight="1">
      <c r="A18" s="341"/>
      <c r="B18" s="323"/>
      <c r="C18" s="166" t="s">
        <v>100</v>
      </c>
      <c r="D18" s="314"/>
      <c r="E18" s="315"/>
      <c r="F18" s="314"/>
      <c r="G18" s="315"/>
      <c r="H18" s="314"/>
      <c r="I18" s="315"/>
      <c r="J18" s="314"/>
      <c r="K18" s="315"/>
      <c r="L18" s="314"/>
      <c r="M18" s="315"/>
      <c r="N18" s="314"/>
      <c r="O18" s="315"/>
      <c r="P18" s="314"/>
      <c r="Q18" s="315"/>
      <c r="R18" s="314"/>
      <c r="S18" s="315"/>
      <c r="T18" s="314"/>
      <c r="U18" s="315"/>
      <c r="V18" s="314"/>
      <c r="W18" s="315"/>
      <c r="X18" s="314"/>
      <c r="Y18" s="315"/>
      <c r="Z18" s="314"/>
      <c r="AA18" s="315"/>
      <c r="AB18" s="314"/>
      <c r="AC18" s="315"/>
      <c r="AD18" s="314"/>
      <c r="AE18" s="315"/>
      <c r="AF18" s="314"/>
      <c r="AG18" s="315"/>
      <c r="AH18" s="314"/>
      <c r="AI18" s="315"/>
      <c r="AJ18" s="314"/>
      <c r="AK18" s="315"/>
      <c r="AL18" s="314"/>
      <c r="AM18" s="315"/>
      <c r="AN18" s="16" t="s">
        <v>98</v>
      </c>
      <c r="AO18" s="9"/>
      <c r="AP18" s="16"/>
      <c r="AQ18" s="9"/>
      <c r="AR18" s="16"/>
      <c r="AS18" s="9"/>
      <c r="AT18" s="16"/>
      <c r="AU18" s="189"/>
      <c r="AV18" s="167"/>
      <c r="AW18" s="234"/>
    </row>
    <row r="19" spans="1:49" s="6" customFormat="1" ht="40" customHeight="1">
      <c r="A19" s="341"/>
      <c r="B19" s="323"/>
      <c r="C19" s="169" t="s">
        <v>101</v>
      </c>
      <c r="D19" s="319"/>
      <c r="E19" s="315"/>
      <c r="F19" s="319"/>
      <c r="G19" s="315"/>
      <c r="H19" s="319"/>
      <c r="I19" s="315"/>
      <c r="J19" s="319"/>
      <c r="K19" s="315"/>
      <c r="L19" s="319"/>
      <c r="M19" s="315"/>
      <c r="N19" s="319"/>
      <c r="O19" s="315"/>
      <c r="P19" s="319"/>
      <c r="Q19" s="315"/>
      <c r="R19" s="319"/>
      <c r="S19" s="315"/>
      <c r="T19" s="319"/>
      <c r="U19" s="315"/>
      <c r="V19" s="319"/>
      <c r="W19" s="315"/>
      <c r="X19" s="319"/>
      <c r="Y19" s="315"/>
      <c r="Z19" s="319"/>
      <c r="AA19" s="315"/>
      <c r="AB19" s="319"/>
      <c r="AC19" s="315"/>
      <c r="AD19" s="319"/>
      <c r="AE19" s="315"/>
      <c r="AF19" s="319"/>
      <c r="AG19" s="315"/>
      <c r="AH19" s="319"/>
      <c r="AI19" s="315"/>
      <c r="AJ19" s="319"/>
      <c r="AK19" s="315"/>
      <c r="AL19" s="319"/>
      <c r="AM19" s="315"/>
      <c r="AN19" s="8" t="s">
        <v>89</v>
      </c>
      <c r="AO19" s="8"/>
      <c r="AP19" s="161"/>
      <c r="AQ19" s="161"/>
      <c r="AR19" s="8"/>
      <c r="AS19" s="8"/>
      <c r="AT19" s="8"/>
      <c r="AU19" s="162"/>
      <c r="AV19" s="172"/>
      <c r="AW19" s="234"/>
    </row>
    <row r="20" spans="1:49" s="6" customFormat="1" ht="40" customHeight="1">
      <c r="A20" s="341"/>
      <c r="B20" s="323"/>
      <c r="C20" s="170" t="s">
        <v>102</v>
      </c>
      <c r="D20" s="314"/>
      <c r="E20" s="315"/>
      <c r="F20" s="314"/>
      <c r="G20" s="315"/>
      <c r="H20" s="314"/>
      <c r="I20" s="315"/>
      <c r="J20" s="314"/>
      <c r="K20" s="315"/>
      <c r="L20" s="314"/>
      <c r="M20" s="315"/>
      <c r="N20" s="314"/>
      <c r="O20" s="315"/>
      <c r="P20" s="314"/>
      <c r="Q20" s="315"/>
      <c r="R20" s="314"/>
      <c r="S20" s="315"/>
      <c r="T20" s="314"/>
      <c r="U20" s="315"/>
      <c r="V20" s="314"/>
      <c r="W20" s="315"/>
      <c r="X20" s="314"/>
      <c r="Y20" s="315"/>
      <c r="Z20" s="314"/>
      <c r="AA20" s="315"/>
      <c r="AB20" s="314"/>
      <c r="AC20" s="315"/>
      <c r="AD20" s="314"/>
      <c r="AE20" s="315"/>
      <c r="AF20" s="314"/>
      <c r="AG20" s="315"/>
      <c r="AH20" s="314"/>
      <c r="AI20" s="315"/>
      <c r="AJ20" s="314"/>
      <c r="AK20" s="315"/>
      <c r="AL20" s="314"/>
      <c r="AM20" s="315"/>
      <c r="AN20" s="16" t="s">
        <v>98</v>
      </c>
      <c r="AO20" s="9"/>
      <c r="AP20" s="16"/>
      <c r="AQ20" s="9"/>
      <c r="AR20" s="16"/>
      <c r="AS20" s="9"/>
      <c r="AT20" s="16"/>
      <c r="AU20" s="189"/>
      <c r="AV20" s="167"/>
      <c r="AW20" s="234"/>
    </row>
    <row r="21" spans="1:49" s="6" customFormat="1" ht="40" customHeight="1">
      <c r="A21" s="341"/>
      <c r="B21" s="323"/>
      <c r="C21" s="158" t="s">
        <v>103</v>
      </c>
      <c r="D21" s="316"/>
      <c r="E21" s="315"/>
      <c r="F21" s="316"/>
      <c r="G21" s="315"/>
      <c r="H21" s="316"/>
      <c r="I21" s="315"/>
      <c r="J21" s="316" t="s">
        <v>83</v>
      </c>
      <c r="K21" s="315"/>
      <c r="L21" s="316"/>
      <c r="M21" s="315"/>
      <c r="N21" s="316"/>
      <c r="O21" s="315"/>
      <c r="P21" s="316"/>
      <c r="Q21" s="315"/>
      <c r="R21" s="316"/>
      <c r="S21" s="315"/>
      <c r="T21" s="316"/>
      <c r="U21" s="315"/>
      <c r="V21" s="316"/>
      <c r="W21" s="315"/>
      <c r="X21" s="316"/>
      <c r="Y21" s="315"/>
      <c r="Z21" s="316"/>
      <c r="AA21" s="315"/>
      <c r="AB21" s="316"/>
      <c r="AC21" s="315"/>
      <c r="AD21" s="316"/>
      <c r="AE21" s="315"/>
      <c r="AF21" s="316"/>
      <c r="AG21" s="315"/>
      <c r="AH21" s="316"/>
      <c r="AI21" s="315"/>
      <c r="AJ21" s="316"/>
      <c r="AK21" s="315"/>
      <c r="AL21" s="316"/>
      <c r="AM21" s="315"/>
      <c r="AN21" s="333"/>
      <c r="AO21" s="315"/>
      <c r="AP21" s="320"/>
      <c r="AQ21" s="315"/>
      <c r="AR21" s="320"/>
      <c r="AS21" s="315"/>
      <c r="AT21" s="320"/>
      <c r="AU21" s="315"/>
      <c r="AV21" s="167"/>
      <c r="AW21" s="234"/>
    </row>
    <row r="22" spans="1:49" s="6" customFormat="1" ht="40" customHeight="1">
      <c r="A22" s="342"/>
      <c r="B22" s="324"/>
      <c r="C22" s="171" t="s">
        <v>104</v>
      </c>
      <c r="D22" s="319"/>
      <c r="E22" s="315"/>
      <c r="F22" s="319"/>
      <c r="G22" s="315"/>
      <c r="H22" s="319"/>
      <c r="I22" s="315"/>
      <c r="J22" s="319" t="s">
        <v>262</v>
      </c>
      <c r="K22" s="315"/>
      <c r="L22" s="319"/>
      <c r="M22" s="315"/>
      <c r="N22" s="319"/>
      <c r="O22" s="315"/>
      <c r="P22" s="319"/>
      <c r="Q22" s="315"/>
      <c r="R22" s="319"/>
      <c r="S22" s="315"/>
      <c r="T22" s="319"/>
      <c r="U22" s="315"/>
      <c r="V22" s="319"/>
      <c r="W22" s="315"/>
      <c r="X22" s="319"/>
      <c r="Y22" s="315"/>
      <c r="Z22" s="319"/>
      <c r="AA22" s="315"/>
      <c r="AB22" s="319"/>
      <c r="AC22" s="315"/>
      <c r="AD22" s="319"/>
      <c r="AE22" s="315"/>
      <c r="AF22" s="319"/>
      <c r="AG22" s="315"/>
      <c r="AH22" s="319"/>
      <c r="AI22" s="315"/>
      <c r="AJ22" s="319"/>
      <c r="AK22" s="315"/>
      <c r="AL22" s="319"/>
      <c r="AM22" s="315"/>
      <c r="AN22" s="330"/>
      <c r="AO22" s="315"/>
      <c r="AP22" s="330"/>
      <c r="AQ22" s="315"/>
      <c r="AR22" s="330"/>
      <c r="AS22" s="315"/>
      <c r="AT22" s="331"/>
      <c r="AU22" s="332"/>
      <c r="AV22" s="172"/>
      <c r="AW22" s="234"/>
    </row>
    <row r="23" spans="1:49" s="6" customFormat="1" ht="40" customHeight="1">
      <c r="A23" s="340" t="s">
        <v>106</v>
      </c>
      <c r="B23" s="322" t="s">
        <v>107</v>
      </c>
      <c r="C23" s="160" t="s">
        <v>108</v>
      </c>
      <c r="D23" s="319"/>
      <c r="E23" s="315"/>
      <c r="F23" s="319"/>
      <c r="G23" s="315"/>
      <c r="H23" s="319"/>
      <c r="I23" s="315"/>
      <c r="J23" s="319"/>
      <c r="K23" s="315"/>
      <c r="L23" s="319" t="s">
        <v>105</v>
      </c>
      <c r="M23" s="315"/>
      <c r="N23" s="319"/>
      <c r="O23" s="315"/>
      <c r="P23" s="319"/>
      <c r="Q23" s="315"/>
      <c r="R23" s="319"/>
      <c r="S23" s="315"/>
      <c r="T23" s="319"/>
      <c r="U23" s="315"/>
      <c r="V23" s="319"/>
      <c r="W23" s="315"/>
      <c r="X23" s="319"/>
      <c r="Y23" s="315"/>
      <c r="Z23" s="319"/>
      <c r="AA23" s="315"/>
      <c r="AB23" s="319"/>
      <c r="AC23" s="315"/>
      <c r="AD23" s="319"/>
      <c r="AE23" s="315"/>
      <c r="AF23" s="319"/>
      <c r="AG23" s="315"/>
      <c r="AH23" s="319"/>
      <c r="AI23" s="315"/>
      <c r="AJ23" s="319"/>
      <c r="AK23" s="315"/>
      <c r="AL23" s="319"/>
      <c r="AM23" s="315"/>
      <c r="AN23" s="319"/>
      <c r="AO23" s="315"/>
      <c r="AP23" s="319"/>
      <c r="AQ23" s="315"/>
      <c r="AR23" s="319"/>
      <c r="AS23" s="315"/>
      <c r="AT23" s="319"/>
      <c r="AU23" s="315"/>
      <c r="AV23" s="165"/>
      <c r="AW23" s="236"/>
    </row>
    <row r="24" spans="1:49" s="6" customFormat="1" ht="40" customHeight="1">
      <c r="A24" s="341"/>
      <c r="B24" s="323"/>
      <c r="C24" s="160" t="s">
        <v>109</v>
      </c>
      <c r="D24" s="319"/>
      <c r="E24" s="315"/>
      <c r="F24" s="319"/>
      <c r="G24" s="315"/>
      <c r="H24" s="319"/>
      <c r="I24" s="315"/>
      <c r="J24" s="319"/>
      <c r="K24" s="315"/>
      <c r="L24" s="319"/>
      <c r="M24" s="315"/>
      <c r="N24" s="319"/>
      <c r="O24" s="315"/>
      <c r="P24" s="319"/>
      <c r="Q24" s="315"/>
      <c r="R24" s="319"/>
      <c r="S24" s="315"/>
      <c r="T24" s="319"/>
      <c r="U24" s="315"/>
      <c r="V24" s="319"/>
      <c r="W24" s="315"/>
      <c r="X24" s="319"/>
      <c r="Y24" s="315"/>
      <c r="Z24" s="319"/>
      <c r="AA24" s="315"/>
      <c r="AB24" s="319"/>
      <c r="AC24" s="315"/>
      <c r="AD24" s="319"/>
      <c r="AE24" s="315"/>
      <c r="AF24" s="319"/>
      <c r="AG24" s="315"/>
      <c r="AH24" s="319"/>
      <c r="AI24" s="315"/>
      <c r="AJ24" s="319"/>
      <c r="AK24" s="315"/>
      <c r="AL24" s="319"/>
      <c r="AM24" s="315"/>
      <c r="AN24" s="8" t="s">
        <v>89</v>
      </c>
      <c r="AO24" s="8"/>
      <c r="AP24" s="8"/>
      <c r="AQ24" s="8"/>
      <c r="AR24" s="8"/>
      <c r="AS24" s="8"/>
      <c r="AT24" s="8"/>
      <c r="AU24" s="162"/>
      <c r="AV24" s="172"/>
      <c r="AW24" s="236"/>
    </row>
    <row r="25" spans="1:49" s="6" customFormat="1" ht="40" customHeight="1">
      <c r="A25" s="341"/>
      <c r="B25" s="323"/>
      <c r="C25" s="160" t="s">
        <v>110</v>
      </c>
      <c r="D25" s="319"/>
      <c r="E25" s="315"/>
      <c r="F25" s="319"/>
      <c r="G25" s="315"/>
      <c r="H25" s="319"/>
      <c r="I25" s="315"/>
      <c r="J25" s="319"/>
      <c r="K25" s="315"/>
      <c r="L25" s="319"/>
      <c r="M25" s="315"/>
      <c r="N25" s="319"/>
      <c r="O25" s="315"/>
      <c r="P25" s="319"/>
      <c r="Q25" s="315"/>
      <c r="R25" s="319"/>
      <c r="S25" s="315"/>
      <c r="T25" s="319"/>
      <c r="U25" s="315"/>
      <c r="V25" s="319"/>
      <c r="W25" s="315"/>
      <c r="X25" s="319"/>
      <c r="Y25" s="315"/>
      <c r="Z25" s="319"/>
      <c r="AA25" s="315"/>
      <c r="AB25" s="319"/>
      <c r="AC25" s="315"/>
      <c r="AD25" s="319"/>
      <c r="AE25" s="315"/>
      <c r="AF25" s="319"/>
      <c r="AG25" s="315"/>
      <c r="AH25" s="319"/>
      <c r="AI25" s="315"/>
      <c r="AJ25" s="319"/>
      <c r="AK25" s="315"/>
      <c r="AL25" s="319"/>
      <c r="AM25" s="315"/>
      <c r="AN25" s="8" t="s">
        <v>89</v>
      </c>
      <c r="AO25" s="8"/>
      <c r="AP25" s="8"/>
      <c r="AQ25" s="8"/>
      <c r="AR25" s="8"/>
      <c r="AS25" s="8"/>
      <c r="AT25" s="8"/>
      <c r="AU25" s="162"/>
      <c r="AV25" s="172"/>
      <c r="AW25" s="236"/>
    </row>
    <row r="26" spans="1:49" s="6" customFormat="1" ht="40" customHeight="1">
      <c r="A26" s="341"/>
      <c r="B26" s="324"/>
      <c r="C26" s="160" t="s">
        <v>111</v>
      </c>
      <c r="D26" s="319"/>
      <c r="E26" s="315"/>
      <c r="F26" s="319"/>
      <c r="G26" s="315"/>
      <c r="H26" s="319"/>
      <c r="I26" s="315"/>
      <c r="J26" s="319"/>
      <c r="K26" s="315"/>
      <c r="L26" s="319" t="s">
        <v>105</v>
      </c>
      <c r="M26" s="315"/>
      <c r="N26" s="319"/>
      <c r="O26" s="315"/>
      <c r="P26" s="319"/>
      <c r="Q26" s="315"/>
      <c r="R26" s="319"/>
      <c r="S26" s="315"/>
      <c r="T26" s="319"/>
      <c r="U26" s="315"/>
      <c r="V26" s="319"/>
      <c r="W26" s="315"/>
      <c r="X26" s="319"/>
      <c r="Y26" s="315"/>
      <c r="Z26" s="319"/>
      <c r="AA26" s="315"/>
      <c r="AB26" s="319"/>
      <c r="AC26" s="315"/>
      <c r="AD26" s="319"/>
      <c r="AE26" s="315"/>
      <c r="AF26" s="319"/>
      <c r="AG26" s="315"/>
      <c r="AH26" s="319"/>
      <c r="AI26" s="315"/>
      <c r="AJ26" s="319"/>
      <c r="AK26" s="315"/>
      <c r="AL26" s="319"/>
      <c r="AM26" s="315"/>
      <c r="AN26" s="319"/>
      <c r="AO26" s="315"/>
      <c r="AP26" s="319"/>
      <c r="AQ26" s="315"/>
      <c r="AR26" s="319"/>
      <c r="AS26" s="315"/>
      <c r="AT26" s="319"/>
      <c r="AU26" s="315"/>
      <c r="AV26" s="165"/>
      <c r="AW26" s="236"/>
    </row>
    <row r="27" spans="1:49" s="6" customFormat="1" ht="40" customHeight="1">
      <c r="A27" s="341"/>
      <c r="B27" s="333" t="s">
        <v>112</v>
      </c>
      <c r="C27" s="160" t="s">
        <v>113</v>
      </c>
      <c r="D27" s="319"/>
      <c r="E27" s="315"/>
      <c r="F27" s="319"/>
      <c r="G27" s="315"/>
      <c r="H27" s="319"/>
      <c r="I27" s="315"/>
      <c r="J27" s="319"/>
      <c r="K27" s="315"/>
      <c r="L27" s="319"/>
      <c r="M27" s="315"/>
      <c r="N27" s="319" t="s">
        <v>105</v>
      </c>
      <c r="O27" s="315"/>
      <c r="P27" s="319"/>
      <c r="Q27" s="315"/>
      <c r="R27" s="319"/>
      <c r="S27" s="315"/>
      <c r="T27" s="319"/>
      <c r="U27" s="315"/>
      <c r="V27" s="319"/>
      <c r="W27" s="315"/>
      <c r="X27" s="319"/>
      <c r="Y27" s="315"/>
      <c r="Z27" s="319"/>
      <c r="AA27" s="315"/>
      <c r="AB27" s="319"/>
      <c r="AC27" s="315"/>
      <c r="AD27" s="319"/>
      <c r="AE27" s="315"/>
      <c r="AF27" s="319"/>
      <c r="AG27" s="315"/>
      <c r="AH27" s="319"/>
      <c r="AI27" s="315"/>
      <c r="AJ27" s="319"/>
      <c r="AK27" s="315"/>
      <c r="AL27" s="319"/>
      <c r="AM27" s="315"/>
      <c r="AN27" s="319"/>
      <c r="AO27" s="315"/>
      <c r="AP27" s="319"/>
      <c r="AQ27" s="315"/>
      <c r="AR27" s="319"/>
      <c r="AS27" s="315"/>
      <c r="AT27" s="319"/>
      <c r="AU27" s="315"/>
      <c r="AV27" s="165"/>
      <c r="AW27" s="236"/>
    </row>
    <row r="28" spans="1:49" s="6" customFormat="1" ht="40" customHeight="1">
      <c r="A28" s="341"/>
      <c r="B28" s="324"/>
      <c r="C28" s="160" t="s">
        <v>114</v>
      </c>
      <c r="D28" s="319"/>
      <c r="E28" s="315"/>
      <c r="F28" s="319"/>
      <c r="G28" s="315"/>
      <c r="H28" s="319"/>
      <c r="I28" s="315"/>
      <c r="J28" s="319"/>
      <c r="K28" s="315"/>
      <c r="L28" s="319"/>
      <c r="M28" s="315"/>
      <c r="N28" s="319" t="s">
        <v>105</v>
      </c>
      <c r="O28" s="315"/>
      <c r="P28" s="319"/>
      <c r="Q28" s="315"/>
      <c r="R28" s="319"/>
      <c r="S28" s="315"/>
      <c r="T28" s="319"/>
      <c r="U28" s="315"/>
      <c r="V28" s="319"/>
      <c r="W28" s="315"/>
      <c r="X28" s="319"/>
      <c r="Y28" s="315"/>
      <c r="Z28" s="319"/>
      <c r="AA28" s="315"/>
      <c r="AB28" s="319"/>
      <c r="AC28" s="315"/>
      <c r="AD28" s="319"/>
      <c r="AE28" s="315"/>
      <c r="AF28" s="319"/>
      <c r="AG28" s="315"/>
      <c r="AH28" s="319"/>
      <c r="AI28" s="315"/>
      <c r="AJ28" s="319"/>
      <c r="AK28" s="315"/>
      <c r="AL28" s="319"/>
      <c r="AM28" s="315"/>
      <c r="AN28" s="319"/>
      <c r="AO28" s="315"/>
      <c r="AP28" s="319"/>
      <c r="AQ28" s="315"/>
      <c r="AR28" s="319"/>
      <c r="AS28" s="315"/>
      <c r="AT28" s="319"/>
      <c r="AU28" s="315"/>
      <c r="AV28" s="165"/>
      <c r="AW28" s="236"/>
    </row>
    <row r="29" spans="1:49" s="6" customFormat="1" ht="40" customHeight="1">
      <c r="A29" s="341"/>
      <c r="B29" s="322" t="s">
        <v>115</v>
      </c>
      <c r="C29" s="158" t="s">
        <v>116</v>
      </c>
      <c r="D29" s="316"/>
      <c r="E29" s="315"/>
      <c r="F29" s="316"/>
      <c r="G29" s="315"/>
      <c r="H29" s="316"/>
      <c r="I29" s="315"/>
      <c r="J29" s="316"/>
      <c r="K29" s="315"/>
      <c r="L29" s="316"/>
      <c r="M29" s="315"/>
      <c r="N29" s="321"/>
      <c r="O29" s="315"/>
      <c r="P29" s="321" t="s">
        <v>83</v>
      </c>
      <c r="Q29" s="315"/>
      <c r="R29" s="316"/>
      <c r="S29" s="315"/>
      <c r="T29" s="326"/>
      <c r="U29" s="315"/>
      <c r="V29" s="316"/>
      <c r="W29" s="315"/>
      <c r="X29" s="316"/>
      <c r="Y29" s="315"/>
      <c r="Z29" s="316"/>
      <c r="AA29" s="315"/>
      <c r="AB29" s="316"/>
      <c r="AC29" s="315"/>
      <c r="AD29" s="316"/>
      <c r="AE29" s="315"/>
      <c r="AF29" s="321"/>
      <c r="AG29" s="315"/>
      <c r="AH29" s="316"/>
      <c r="AI29" s="315"/>
      <c r="AJ29" s="316"/>
      <c r="AK29" s="315"/>
      <c r="AL29" s="321"/>
      <c r="AM29" s="315"/>
      <c r="AN29" s="321"/>
      <c r="AO29" s="315"/>
      <c r="AP29" s="316"/>
      <c r="AQ29" s="315"/>
      <c r="AR29" s="321"/>
      <c r="AS29" s="315"/>
      <c r="AT29" s="316"/>
      <c r="AU29" s="315"/>
      <c r="AV29" s="163"/>
      <c r="AW29" s="236"/>
    </row>
    <row r="30" spans="1:49" s="6" customFormat="1" ht="40" customHeight="1">
      <c r="A30" s="341"/>
      <c r="B30" s="323"/>
      <c r="C30" s="158" t="s">
        <v>117</v>
      </c>
      <c r="D30" s="316"/>
      <c r="E30" s="315"/>
      <c r="F30" s="316"/>
      <c r="G30" s="315"/>
      <c r="H30" s="316"/>
      <c r="I30" s="315"/>
      <c r="J30" s="316"/>
      <c r="K30" s="315"/>
      <c r="L30" s="316"/>
      <c r="M30" s="315"/>
      <c r="N30" s="326"/>
      <c r="O30" s="315"/>
      <c r="P30" s="326" t="s">
        <v>83</v>
      </c>
      <c r="Q30" s="315"/>
      <c r="R30" s="316"/>
      <c r="S30" s="315"/>
      <c r="T30" s="316"/>
      <c r="U30" s="315"/>
      <c r="V30" s="326"/>
      <c r="W30" s="315"/>
      <c r="X30" s="316"/>
      <c r="Y30" s="315"/>
      <c r="Z30" s="316"/>
      <c r="AA30" s="315"/>
      <c r="AB30" s="316"/>
      <c r="AC30" s="315"/>
      <c r="AD30" s="316"/>
      <c r="AE30" s="315"/>
      <c r="AF30" s="316"/>
      <c r="AG30" s="315"/>
      <c r="AH30" s="316"/>
      <c r="AI30" s="315"/>
      <c r="AJ30" s="316"/>
      <c r="AK30" s="315"/>
      <c r="AL30" s="316"/>
      <c r="AM30" s="315"/>
      <c r="AN30" s="316"/>
      <c r="AO30" s="315"/>
      <c r="AP30" s="316"/>
      <c r="AQ30" s="315"/>
      <c r="AR30" s="316"/>
      <c r="AS30" s="315"/>
      <c r="AT30" s="316"/>
      <c r="AU30" s="315"/>
      <c r="AV30" s="163"/>
      <c r="AW30" s="236"/>
    </row>
    <row r="31" spans="1:49" s="6" customFormat="1" ht="40" customHeight="1">
      <c r="A31" s="341"/>
      <c r="B31" s="324"/>
      <c r="C31" s="160" t="s">
        <v>118</v>
      </c>
      <c r="D31" s="319"/>
      <c r="E31" s="315"/>
      <c r="F31" s="319"/>
      <c r="G31" s="315"/>
      <c r="H31" s="319"/>
      <c r="I31" s="315"/>
      <c r="J31" s="319"/>
      <c r="K31" s="315"/>
      <c r="L31" s="319"/>
      <c r="M31" s="315"/>
      <c r="N31" s="319"/>
      <c r="O31" s="315"/>
      <c r="P31" s="319" t="s">
        <v>105</v>
      </c>
      <c r="Q31" s="315"/>
      <c r="R31" s="319"/>
      <c r="S31" s="315"/>
      <c r="T31" s="319"/>
      <c r="U31" s="315"/>
      <c r="V31" s="319"/>
      <c r="W31" s="315"/>
      <c r="X31" s="319"/>
      <c r="Y31" s="315"/>
      <c r="Z31" s="319"/>
      <c r="AA31" s="315"/>
      <c r="AB31" s="319"/>
      <c r="AC31" s="315"/>
      <c r="AD31" s="319"/>
      <c r="AE31" s="315"/>
      <c r="AF31" s="319"/>
      <c r="AG31" s="315"/>
      <c r="AH31" s="319"/>
      <c r="AI31" s="315"/>
      <c r="AJ31" s="319"/>
      <c r="AK31" s="315"/>
      <c r="AL31" s="319"/>
      <c r="AM31" s="315"/>
      <c r="AN31" s="319"/>
      <c r="AO31" s="315"/>
      <c r="AP31" s="319"/>
      <c r="AQ31" s="315"/>
      <c r="AR31" s="319"/>
      <c r="AS31" s="315"/>
      <c r="AT31" s="319"/>
      <c r="AU31" s="315"/>
      <c r="AV31" s="172"/>
      <c r="AW31" s="236"/>
    </row>
    <row r="32" spans="1:49" s="6" customFormat="1" ht="40" customHeight="1">
      <c r="A32" s="341"/>
      <c r="B32" s="173" t="s">
        <v>119</v>
      </c>
      <c r="C32" s="158" t="s">
        <v>120</v>
      </c>
      <c r="D32" s="316"/>
      <c r="E32" s="315"/>
      <c r="F32" s="316"/>
      <c r="G32" s="315"/>
      <c r="H32" s="316"/>
      <c r="I32" s="315"/>
      <c r="J32" s="316"/>
      <c r="K32" s="315"/>
      <c r="L32" s="316"/>
      <c r="M32" s="315"/>
      <c r="N32" s="316"/>
      <c r="O32" s="315"/>
      <c r="P32" s="316"/>
      <c r="Q32" s="315"/>
      <c r="R32" s="316" t="s">
        <v>83</v>
      </c>
      <c r="S32" s="315"/>
      <c r="T32" s="316"/>
      <c r="U32" s="315"/>
      <c r="V32" s="316"/>
      <c r="W32" s="315"/>
      <c r="X32" s="316"/>
      <c r="Y32" s="315"/>
      <c r="Z32" s="316"/>
      <c r="AA32" s="315"/>
      <c r="AB32" s="316"/>
      <c r="AC32" s="315"/>
      <c r="AD32" s="316"/>
      <c r="AE32" s="315"/>
      <c r="AF32" s="316"/>
      <c r="AG32" s="315"/>
      <c r="AH32" s="316"/>
      <c r="AI32" s="315"/>
      <c r="AJ32" s="316"/>
      <c r="AK32" s="315"/>
      <c r="AL32" s="316"/>
      <c r="AM32" s="315"/>
      <c r="AN32" s="316"/>
      <c r="AO32" s="315"/>
      <c r="AP32" s="316"/>
      <c r="AQ32" s="315"/>
      <c r="AR32" s="316"/>
      <c r="AS32" s="315"/>
      <c r="AT32" s="316"/>
      <c r="AU32" s="315"/>
      <c r="AV32" s="10"/>
      <c r="AW32" s="236"/>
    </row>
    <row r="33" spans="1:49" s="6" customFormat="1" ht="40" customHeight="1">
      <c r="A33" s="341"/>
      <c r="B33" s="334" t="s">
        <v>96</v>
      </c>
      <c r="C33" s="166" t="s">
        <v>97</v>
      </c>
      <c r="D33" s="314"/>
      <c r="E33" s="315"/>
      <c r="F33" s="314"/>
      <c r="G33" s="315"/>
      <c r="H33" s="314"/>
      <c r="I33" s="315"/>
      <c r="J33" s="314"/>
      <c r="K33" s="315"/>
      <c r="L33" s="314"/>
      <c r="M33" s="315"/>
      <c r="N33" s="314"/>
      <c r="O33" s="315"/>
      <c r="P33" s="314"/>
      <c r="Q33" s="315"/>
      <c r="R33" s="314"/>
      <c r="S33" s="315"/>
      <c r="T33" s="314"/>
      <c r="U33" s="315"/>
      <c r="V33" s="314"/>
      <c r="W33" s="315"/>
      <c r="X33" s="314"/>
      <c r="Y33" s="315"/>
      <c r="Z33" s="314"/>
      <c r="AA33" s="315"/>
      <c r="AB33" s="314"/>
      <c r="AC33" s="315"/>
      <c r="AD33" s="314"/>
      <c r="AE33" s="315"/>
      <c r="AF33" s="314"/>
      <c r="AG33" s="315"/>
      <c r="AH33" s="314"/>
      <c r="AI33" s="315"/>
      <c r="AJ33" s="314"/>
      <c r="AK33" s="315"/>
      <c r="AL33" s="314"/>
      <c r="AM33" s="315"/>
      <c r="AN33" s="16" t="s">
        <v>98</v>
      </c>
      <c r="AO33" s="9"/>
      <c r="AP33" s="16"/>
      <c r="AQ33" s="9"/>
      <c r="AR33" s="16"/>
      <c r="AS33" s="9"/>
      <c r="AT33" s="16"/>
      <c r="AU33" s="189"/>
      <c r="AV33" s="167"/>
      <c r="AW33" s="234"/>
    </row>
    <row r="34" spans="1:49" s="6" customFormat="1" ht="40" customHeight="1">
      <c r="A34" s="341"/>
      <c r="B34" s="323"/>
      <c r="C34" s="171" t="s">
        <v>121</v>
      </c>
      <c r="D34" s="319"/>
      <c r="E34" s="315"/>
      <c r="F34" s="319"/>
      <c r="G34" s="315"/>
      <c r="H34" s="319"/>
      <c r="I34" s="315"/>
      <c r="J34" s="319"/>
      <c r="K34" s="315"/>
      <c r="L34" s="319"/>
      <c r="M34" s="315"/>
      <c r="N34" s="319"/>
      <c r="O34" s="315"/>
      <c r="P34" s="319"/>
      <c r="Q34" s="315"/>
      <c r="R34" s="319"/>
      <c r="S34" s="315"/>
      <c r="T34" s="319"/>
      <c r="U34" s="315"/>
      <c r="V34" s="319"/>
      <c r="W34" s="315"/>
      <c r="X34" s="319"/>
      <c r="Y34" s="315"/>
      <c r="Z34" s="319"/>
      <c r="AA34" s="315"/>
      <c r="AB34" s="319"/>
      <c r="AC34" s="315"/>
      <c r="AD34" s="319"/>
      <c r="AE34" s="315"/>
      <c r="AF34" s="319"/>
      <c r="AG34" s="315"/>
      <c r="AH34" s="319"/>
      <c r="AI34" s="315"/>
      <c r="AJ34" s="319"/>
      <c r="AK34" s="315"/>
      <c r="AL34" s="319"/>
      <c r="AM34" s="315"/>
      <c r="AN34" s="8" t="s">
        <v>89</v>
      </c>
      <c r="AO34" s="8"/>
      <c r="AP34" s="8"/>
      <c r="AQ34" s="8"/>
      <c r="AR34" s="8"/>
      <c r="AS34" s="8"/>
      <c r="AT34" s="8"/>
      <c r="AU34" s="162"/>
      <c r="AV34" s="172"/>
      <c r="AW34" s="234"/>
    </row>
    <row r="35" spans="1:49" s="6" customFormat="1" ht="40" customHeight="1">
      <c r="A35" s="342"/>
      <c r="B35" s="324"/>
      <c r="C35" s="174" t="s">
        <v>122</v>
      </c>
      <c r="D35" s="327"/>
      <c r="E35" s="290"/>
      <c r="F35" s="327"/>
      <c r="G35" s="290"/>
      <c r="H35" s="327"/>
      <c r="I35" s="290"/>
      <c r="J35" s="327"/>
      <c r="K35" s="290"/>
      <c r="L35" s="327"/>
      <c r="M35" s="290"/>
      <c r="N35" s="327"/>
      <c r="O35" s="290"/>
      <c r="P35" s="327"/>
      <c r="Q35" s="290"/>
      <c r="R35" s="327"/>
      <c r="S35" s="290"/>
      <c r="T35" s="327"/>
      <c r="U35" s="290"/>
      <c r="V35" s="327"/>
      <c r="W35" s="290"/>
      <c r="X35" s="327"/>
      <c r="Y35" s="290"/>
      <c r="Z35" s="327"/>
      <c r="AA35" s="290"/>
      <c r="AB35" s="327"/>
      <c r="AC35" s="290"/>
      <c r="AD35" s="327"/>
      <c r="AE35" s="290"/>
      <c r="AF35" s="327"/>
      <c r="AG35" s="290"/>
      <c r="AH35" s="327"/>
      <c r="AI35" s="290"/>
      <c r="AJ35" s="327"/>
      <c r="AK35" s="290"/>
      <c r="AL35" s="327"/>
      <c r="AM35" s="290"/>
      <c r="AN35" s="180" t="s">
        <v>89</v>
      </c>
      <c r="AO35" s="181"/>
      <c r="AP35" s="182"/>
      <c r="AQ35" s="183"/>
      <c r="AR35" s="182"/>
      <c r="AS35" s="183"/>
      <c r="AT35" s="182"/>
      <c r="AU35" s="184"/>
      <c r="AV35" s="172"/>
      <c r="AW35" s="234"/>
    </row>
  </sheetData>
  <mergeCells count="656">
    <mergeCell ref="AT26:AU26"/>
    <mergeCell ref="AT6:AU6"/>
    <mergeCell ref="AB20:AC20"/>
    <mergeCell ref="AL6:AM6"/>
    <mergeCell ref="AJ11:AK11"/>
    <mergeCell ref="AB14:AC14"/>
    <mergeCell ref="AL11:AM11"/>
    <mergeCell ref="AD14:AE14"/>
    <mergeCell ref="AD20:AE20"/>
    <mergeCell ref="AD13:AE13"/>
    <mergeCell ref="AD15:AE15"/>
    <mergeCell ref="D29:E29"/>
    <mergeCell ref="D23:E23"/>
    <mergeCell ref="AF28:AG28"/>
    <mergeCell ref="N34:O34"/>
    <mergeCell ref="V25:W25"/>
    <mergeCell ref="X25:Y25"/>
    <mergeCell ref="AB33:AC33"/>
    <mergeCell ref="AF34:AG34"/>
    <mergeCell ref="AR31:AS31"/>
    <mergeCell ref="AF29:AG29"/>
    <mergeCell ref="AH29:AI29"/>
    <mergeCell ref="AH31:AI31"/>
    <mergeCell ref="AJ24:AK24"/>
    <mergeCell ref="AL24:AM24"/>
    <mergeCell ref="AR26:AS26"/>
    <mergeCell ref="AH26:AI26"/>
    <mergeCell ref="AR7:AS7"/>
    <mergeCell ref="P13:Q13"/>
    <mergeCell ref="AN5:AO5"/>
    <mergeCell ref="AP5:AQ5"/>
    <mergeCell ref="N20:O20"/>
    <mergeCell ref="AJ26:AK26"/>
    <mergeCell ref="F8:G8"/>
    <mergeCell ref="AB27:AC27"/>
    <mergeCell ref="A23:A35"/>
    <mergeCell ref="AJ18:AK18"/>
    <mergeCell ref="AD27:AE27"/>
    <mergeCell ref="J35:K35"/>
    <mergeCell ref="AL18:AM18"/>
    <mergeCell ref="L35:M35"/>
    <mergeCell ref="R35:S35"/>
    <mergeCell ref="L10:M10"/>
    <mergeCell ref="N10:O10"/>
    <mergeCell ref="R17:S17"/>
    <mergeCell ref="T17:U17"/>
    <mergeCell ref="D25:E25"/>
    <mergeCell ref="B13:B15"/>
    <mergeCell ref="T19:U19"/>
    <mergeCell ref="P8:Q8"/>
    <mergeCell ref="P16:Q16"/>
    <mergeCell ref="F24:G24"/>
    <mergeCell ref="F28:G28"/>
    <mergeCell ref="N27:O27"/>
    <mergeCell ref="P21:Q21"/>
    <mergeCell ref="P23:Q23"/>
    <mergeCell ref="L23:M23"/>
    <mergeCell ref="AR29:AS29"/>
    <mergeCell ref="P5:Q5"/>
    <mergeCell ref="R5:S5"/>
    <mergeCell ref="AJ9:AK9"/>
    <mergeCell ref="AL9:AM9"/>
    <mergeCell ref="AN9:AO9"/>
    <mergeCell ref="AR5:AS5"/>
    <mergeCell ref="AJ5:AK5"/>
    <mergeCell ref="J22:K22"/>
    <mergeCell ref="N13:O13"/>
    <mergeCell ref="AL5:AM5"/>
    <mergeCell ref="L22:M22"/>
    <mergeCell ref="T22:U22"/>
    <mergeCell ref="AR13:AS13"/>
    <mergeCell ref="AP22:AQ22"/>
    <mergeCell ref="AP15:AQ15"/>
    <mergeCell ref="AR15:AS15"/>
    <mergeCell ref="AF13:AG13"/>
    <mergeCell ref="F7:G7"/>
    <mergeCell ref="AJ23:AK23"/>
    <mergeCell ref="AB26:AC26"/>
    <mergeCell ref="AL16:AM16"/>
    <mergeCell ref="AD19:AE19"/>
    <mergeCell ref="L8:M8"/>
    <mergeCell ref="N8:O8"/>
    <mergeCell ref="D35:E35"/>
    <mergeCell ref="B27:B28"/>
    <mergeCell ref="L7:M7"/>
    <mergeCell ref="D10:E10"/>
    <mergeCell ref="N7:O7"/>
    <mergeCell ref="F10:G10"/>
    <mergeCell ref="D34:E34"/>
    <mergeCell ref="F34:G34"/>
    <mergeCell ref="N25:O25"/>
    <mergeCell ref="F30:G30"/>
    <mergeCell ref="J27:K27"/>
    <mergeCell ref="B16:B22"/>
    <mergeCell ref="J20:K20"/>
    <mergeCell ref="L20:M20"/>
    <mergeCell ref="L33:M33"/>
    <mergeCell ref="N33:O33"/>
    <mergeCell ref="J30:K30"/>
    <mergeCell ref="F32:G32"/>
    <mergeCell ref="N23:O23"/>
    <mergeCell ref="F26:G26"/>
    <mergeCell ref="X34:Y34"/>
    <mergeCell ref="L14:M14"/>
    <mergeCell ref="AN22:AO22"/>
    <mergeCell ref="N14:O14"/>
    <mergeCell ref="V30:W30"/>
    <mergeCell ref="Z21:AA21"/>
    <mergeCell ref="X30:Y30"/>
    <mergeCell ref="AB21:AC21"/>
    <mergeCell ref="X29:Y29"/>
    <mergeCell ref="P32:Q32"/>
    <mergeCell ref="Z29:AA29"/>
    <mergeCell ref="R32:S32"/>
    <mergeCell ref="Z23:AA23"/>
    <mergeCell ref="AB23:AC23"/>
    <mergeCell ref="AD16:AE16"/>
    <mergeCell ref="Z24:AA24"/>
    <mergeCell ref="T27:U27"/>
    <mergeCell ref="AB18:AC18"/>
    <mergeCell ref="F31:G31"/>
    <mergeCell ref="L34:M34"/>
    <mergeCell ref="P33:Q33"/>
    <mergeCell ref="D8:E8"/>
    <mergeCell ref="X35:Y35"/>
    <mergeCell ref="Z35:AA35"/>
    <mergeCell ref="AF7:AG7"/>
    <mergeCell ref="X10:Y10"/>
    <mergeCell ref="AH7:AI7"/>
    <mergeCell ref="Z10:AA10"/>
    <mergeCell ref="H24:I24"/>
    <mergeCell ref="AB10:AC10"/>
    <mergeCell ref="H18:I18"/>
    <mergeCell ref="J18:K18"/>
    <mergeCell ref="J17:K17"/>
    <mergeCell ref="H26:I26"/>
    <mergeCell ref="L17:M17"/>
    <mergeCell ref="D20:E20"/>
    <mergeCell ref="N11:O11"/>
    <mergeCell ref="J19:K19"/>
    <mergeCell ref="L19:M19"/>
    <mergeCell ref="D22:E22"/>
    <mergeCell ref="L12:M12"/>
    <mergeCell ref="V34:W34"/>
    <mergeCell ref="N12:O12"/>
    <mergeCell ref="F15:G15"/>
    <mergeCell ref="D32:E32"/>
    <mergeCell ref="A6:A22"/>
    <mergeCell ref="AL32:AM32"/>
    <mergeCell ref="AT23:AU23"/>
    <mergeCell ref="AN32:AO32"/>
    <mergeCell ref="R26:S26"/>
    <mergeCell ref="T26:U26"/>
    <mergeCell ref="X33:Y33"/>
    <mergeCell ref="Z33:AA33"/>
    <mergeCell ref="AB8:AC8"/>
    <mergeCell ref="AP9:AQ9"/>
    <mergeCell ref="AR9:AS9"/>
    <mergeCell ref="AD25:AE25"/>
    <mergeCell ref="D13:E13"/>
    <mergeCell ref="V28:W28"/>
    <mergeCell ref="AH20:AI20"/>
    <mergeCell ref="AF25:AG25"/>
    <mergeCell ref="X28:Y28"/>
    <mergeCell ref="AT31:AU31"/>
    <mergeCell ref="D33:E33"/>
    <mergeCell ref="AD18:AE18"/>
    <mergeCell ref="P25:Q25"/>
    <mergeCell ref="AH8:AI8"/>
    <mergeCell ref="AJ8:AK8"/>
    <mergeCell ref="R16:S16"/>
    <mergeCell ref="AT28:AU28"/>
    <mergeCell ref="AP14:AQ14"/>
    <mergeCell ref="P31:Q31"/>
    <mergeCell ref="AR14:AS14"/>
    <mergeCell ref="R31:S31"/>
    <mergeCell ref="H6:I6"/>
    <mergeCell ref="B23:B26"/>
    <mergeCell ref="J6:K6"/>
    <mergeCell ref="R24:S24"/>
    <mergeCell ref="AT29:AU29"/>
    <mergeCell ref="AH10:AI10"/>
    <mergeCell ref="AJ10:AK10"/>
    <mergeCell ref="T9:U9"/>
    <mergeCell ref="V9:W9"/>
    <mergeCell ref="AR28:AS28"/>
    <mergeCell ref="T11:U11"/>
    <mergeCell ref="AP30:AQ30"/>
    <mergeCell ref="V11:W11"/>
    <mergeCell ref="AR30:AS30"/>
    <mergeCell ref="X31:Y31"/>
    <mergeCell ref="Z31:AA31"/>
    <mergeCell ref="AD9:AE9"/>
    <mergeCell ref="V12:W12"/>
    <mergeCell ref="X12:Y12"/>
    <mergeCell ref="AP26:AQ26"/>
    <mergeCell ref="D17:E17"/>
    <mergeCell ref="Z8:AA8"/>
    <mergeCell ref="H16:I16"/>
    <mergeCell ref="A4:A5"/>
    <mergeCell ref="J16:K16"/>
    <mergeCell ref="V27:W27"/>
    <mergeCell ref="AL17:AM17"/>
    <mergeCell ref="L9:M9"/>
    <mergeCell ref="D12:E12"/>
    <mergeCell ref="N9:O9"/>
    <mergeCell ref="AF17:AG17"/>
    <mergeCell ref="Z20:AA20"/>
    <mergeCell ref="T6:U6"/>
    <mergeCell ref="D4:AU4"/>
    <mergeCell ref="AL19:AM19"/>
    <mergeCell ref="L11:M11"/>
    <mergeCell ref="D14:E14"/>
    <mergeCell ref="AF22:AG22"/>
    <mergeCell ref="F14:G14"/>
    <mergeCell ref="V22:W22"/>
    <mergeCell ref="AF19:AG19"/>
    <mergeCell ref="X22:Y22"/>
    <mergeCell ref="AP12:AQ12"/>
    <mergeCell ref="H5:I5"/>
    <mergeCell ref="R23:S23"/>
    <mergeCell ref="AJ31:AK31"/>
    <mergeCell ref="AL31:AM31"/>
    <mergeCell ref="AN6:AO6"/>
    <mergeCell ref="V13:W13"/>
    <mergeCell ref="X13:Y13"/>
    <mergeCell ref="X7:Y7"/>
    <mergeCell ref="F21:G21"/>
    <mergeCell ref="Z7:AA7"/>
    <mergeCell ref="H21:I21"/>
    <mergeCell ref="AL26:AM26"/>
    <mergeCell ref="R7:S7"/>
    <mergeCell ref="AN26:AO26"/>
    <mergeCell ref="H30:I30"/>
    <mergeCell ref="J5:K5"/>
    <mergeCell ref="P29:Q29"/>
    <mergeCell ref="H29:I29"/>
    <mergeCell ref="R29:S29"/>
    <mergeCell ref="AB5:AC5"/>
    <mergeCell ref="AD5:AE5"/>
    <mergeCell ref="F5:G5"/>
    <mergeCell ref="T14:U14"/>
    <mergeCell ref="V14:W14"/>
    <mergeCell ref="AT13:AU13"/>
    <mergeCell ref="N35:O35"/>
    <mergeCell ref="AT7:AU7"/>
    <mergeCell ref="T24:U24"/>
    <mergeCell ref="P35:Q35"/>
    <mergeCell ref="P10:Q10"/>
    <mergeCell ref="R10:S10"/>
    <mergeCell ref="B33:B35"/>
    <mergeCell ref="X17:Y17"/>
    <mergeCell ref="H25:I25"/>
    <mergeCell ref="AT8:AU8"/>
    <mergeCell ref="D11:E11"/>
    <mergeCell ref="V19:W19"/>
    <mergeCell ref="AF16:AG16"/>
    <mergeCell ref="X19:Y19"/>
    <mergeCell ref="F33:G33"/>
    <mergeCell ref="AF9:AG9"/>
    <mergeCell ref="AH34:AI34"/>
    <mergeCell ref="AH9:AI9"/>
    <mergeCell ref="Z12:AA12"/>
    <mergeCell ref="AJ34:AK34"/>
    <mergeCell ref="AB12:AC12"/>
    <mergeCell ref="AF20:AG20"/>
    <mergeCell ref="F13:G13"/>
    <mergeCell ref="H13:I13"/>
    <mergeCell ref="AD32:AE32"/>
    <mergeCell ref="AL23:AM23"/>
    <mergeCell ref="AD26:AE26"/>
    <mergeCell ref="AR12:AS12"/>
    <mergeCell ref="AN23:AO23"/>
    <mergeCell ref="AF26:AG26"/>
    <mergeCell ref="AF32:AG32"/>
    <mergeCell ref="N15:O15"/>
    <mergeCell ref="P15:Q15"/>
    <mergeCell ref="H15:I15"/>
    <mergeCell ref="AF14:AG14"/>
    <mergeCell ref="N28:O28"/>
    <mergeCell ref="X14:Y14"/>
    <mergeCell ref="Z14:AA14"/>
    <mergeCell ref="H28:I28"/>
    <mergeCell ref="P28:Q28"/>
    <mergeCell ref="AD22:AE22"/>
    <mergeCell ref="N30:O30"/>
    <mergeCell ref="P30:Q30"/>
    <mergeCell ref="N22:O22"/>
    <mergeCell ref="P22:Q22"/>
    <mergeCell ref="AN21:AO21"/>
    <mergeCell ref="L27:M27"/>
    <mergeCell ref="AD33:AE33"/>
    <mergeCell ref="R21:S21"/>
    <mergeCell ref="T21:U21"/>
    <mergeCell ref="T33:U33"/>
    <mergeCell ref="AH35:AI35"/>
    <mergeCell ref="AJ28:AK28"/>
    <mergeCell ref="AB31:AC31"/>
    <mergeCell ref="AL28:AM28"/>
    <mergeCell ref="AD31:AE31"/>
    <mergeCell ref="AL21:AM21"/>
    <mergeCell ref="AJ30:AK30"/>
    <mergeCell ref="AD34:AE34"/>
    <mergeCell ref="V24:W24"/>
    <mergeCell ref="AF35:AG35"/>
    <mergeCell ref="V33:W33"/>
    <mergeCell ref="AJ33:AK33"/>
    <mergeCell ref="AL33:AM33"/>
    <mergeCell ref="AH28:AI28"/>
    <mergeCell ref="AH21:AI21"/>
    <mergeCell ref="AJ21:AK21"/>
    <mergeCell ref="AB24:AC24"/>
    <mergeCell ref="AD24:AE24"/>
    <mergeCell ref="AH23:AI23"/>
    <mergeCell ref="Z26:AA26"/>
    <mergeCell ref="AJ29:AK29"/>
    <mergeCell ref="AL29:AM29"/>
    <mergeCell ref="AN8:AO8"/>
    <mergeCell ref="T16:U16"/>
    <mergeCell ref="V16:W16"/>
    <mergeCell ref="AL10:AM10"/>
    <mergeCell ref="T18:U18"/>
    <mergeCell ref="X9:Y9"/>
    <mergeCell ref="V18:W18"/>
    <mergeCell ref="Z9:AA9"/>
    <mergeCell ref="AD17:AE17"/>
    <mergeCell ref="V17:W17"/>
    <mergeCell ref="AB29:AC29"/>
    <mergeCell ref="AL8:AM8"/>
    <mergeCell ref="AB16:AC16"/>
    <mergeCell ref="AD12:AE12"/>
    <mergeCell ref="V8:W8"/>
    <mergeCell ref="AH13:AI13"/>
    <mergeCell ref="T13:U13"/>
    <mergeCell ref="AR22:AS22"/>
    <mergeCell ref="Z30:AA30"/>
    <mergeCell ref="AT22:AU22"/>
    <mergeCell ref="AD21:AE21"/>
    <mergeCell ref="F11:G11"/>
    <mergeCell ref="AB30:AC30"/>
    <mergeCell ref="T30:U30"/>
    <mergeCell ref="T5:U5"/>
    <mergeCell ref="P20:Q20"/>
    <mergeCell ref="X11:Y11"/>
    <mergeCell ref="Z11:AA11"/>
    <mergeCell ref="T20:U20"/>
    <mergeCell ref="P7:Q7"/>
    <mergeCell ref="AH15:AI15"/>
    <mergeCell ref="H7:I7"/>
    <mergeCell ref="AJ15:AK15"/>
    <mergeCell ref="J7:K7"/>
    <mergeCell ref="T23:U23"/>
    <mergeCell ref="AH30:AI30"/>
    <mergeCell ref="H27:I27"/>
    <mergeCell ref="V7:W7"/>
    <mergeCell ref="H8:I8"/>
    <mergeCell ref="AF27:AG27"/>
    <mergeCell ref="J8:K8"/>
    <mergeCell ref="B4:B5"/>
    <mergeCell ref="P12:Q12"/>
    <mergeCell ref="Z34:AA34"/>
    <mergeCell ref="AH25:AI25"/>
    <mergeCell ref="Z28:AA28"/>
    <mergeCell ref="AB34:AC34"/>
    <mergeCell ref="AJ25:AK25"/>
    <mergeCell ref="AB28:AC28"/>
    <mergeCell ref="T34:U34"/>
    <mergeCell ref="T28:U28"/>
    <mergeCell ref="B6:B8"/>
    <mergeCell ref="H32:I32"/>
    <mergeCell ref="J32:K32"/>
    <mergeCell ref="X32:Y32"/>
    <mergeCell ref="Z32:AA32"/>
    <mergeCell ref="AB32:AC32"/>
    <mergeCell ref="X27:Y27"/>
    <mergeCell ref="AF18:AG18"/>
    <mergeCell ref="H11:I11"/>
    <mergeCell ref="R33:S33"/>
    <mergeCell ref="R8:S8"/>
    <mergeCell ref="AF6:AG6"/>
    <mergeCell ref="AF11:AG11"/>
    <mergeCell ref="AH11:AI11"/>
    <mergeCell ref="T32:U32"/>
    <mergeCell ref="AD29:AE29"/>
    <mergeCell ref="B29:B31"/>
    <mergeCell ref="AP32:AQ32"/>
    <mergeCell ref="AR32:AS32"/>
    <mergeCell ref="AH12:AI12"/>
    <mergeCell ref="AJ12:AK12"/>
    <mergeCell ref="AB15:AC15"/>
    <mergeCell ref="J29:K29"/>
    <mergeCell ref="T15:U15"/>
    <mergeCell ref="AH14:AI14"/>
    <mergeCell ref="H31:I31"/>
    <mergeCell ref="AJ14:AK14"/>
    <mergeCell ref="J24:K24"/>
    <mergeCell ref="L24:M24"/>
    <mergeCell ref="L18:M18"/>
    <mergeCell ref="D27:E27"/>
    <mergeCell ref="N18:O18"/>
    <mergeCell ref="J26:K26"/>
    <mergeCell ref="N17:O17"/>
    <mergeCell ref="L26:M26"/>
    <mergeCell ref="P17:Q17"/>
    <mergeCell ref="AN27:AO27"/>
    <mergeCell ref="X23:Y23"/>
    <mergeCell ref="AT30:AU30"/>
    <mergeCell ref="H23:I23"/>
    <mergeCell ref="J23:K23"/>
    <mergeCell ref="D26:E26"/>
    <mergeCell ref="AD8:AE8"/>
    <mergeCell ref="C4:C5"/>
    <mergeCell ref="L16:M16"/>
    <mergeCell ref="D19:E19"/>
    <mergeCell ref="N16:O16"/>
    <mergeCell ref="F19:G19"/>
    <mergeCell ref="AF24:AG24"/>
    <mergeCell ref="AH24:AI24"/>
    <mergeCell ref="F6:G6"/>
    <mergeCell ref="Z27:AA27"/>
    <mergeCell ref="AH18:AI18"/>
    <mergeCell ref="P9:Q9"/>
    <mergeCell ref="AH17:AI17"/>
    <mergeCell ref="AJ17:AK17"/>
    <mergeCell ref="Z25:AA25"/>
    <mergeCell ref="R25:S25"/>
    <mergeCell ref="AB25:AC25"/>
    <mergeCell ref="T25:U25"/>
    <mergeCell ref="V5:W5"/>
    <mergeCell ref="J11:K11"/>
    <mergeCell ref="J21:K21"/>
    <mergeCell ref="T7:U7"/>
    <mergeCell ref="AD7:AE7"/>
    <mergeCell ref="L21:M21"/>
    <mergeCell ref="Z15:AA15"/>
    <mergeCell ref="AH19:AI19"/>
    <mergeCell ref="AJ19:AK19"/>
    <mergeCell ref="L6:M6"/>
    <mergeCell ref="N6:O6"/>
    <mergeCell ref="AJ7:AK7"/>
    <mergeCell ref="AD10:AE10"/>
    <mergeCell ref="AF10:AG10"/>
    <mergeCell ref="T8:U8"/>
    <mergeCell ref="AD6:AE6"/>
    <mergeCell ref="AJ13:AK13"/>
    <mergeCell ref="N19:O19"/>
    <mergeCell ref="P19:Q19"/>
    <mergeCell ref="X16:Y16"/>
    <mergeCell ref="Z16:AA16"/>
    <mergeCell ref="V6:W6"/>
    <mergeCell ref="X6:Y6"/>
    <mergeCell ref="N21:O21"/>
    <mergeCell ref="P18:Q18"/>
    <mergeCell ref="D6:E6"/>
    <mergeCell ref="R30:S30"/>
    <mergeCell ref="AN29:AO29"/>
    <mergeCell ref="AP29:AQ29"/>
    <mergeCell ref="L5:M5"/>
    <mergeCell ref="N5:O5"/>
    <mergeCell ref="R12:S12"/>
    <mergeCell ref="AN31:AO31"/>
    <mergeCell ref="T12:U12"/>
    <mergeCell ref="AP31:AQ31"/>
    <mergeCell ref="AP6:AQ6"/>
    <mergeCell ref="X20:Y20"/>
    <mergeCell ref="AH6:AI6"/>
    <mergeCell ref="D24:E24"/>
    <mergeCell ref="Z22:AA22"/>
    <mergeCell ref="AB22:AC22"/>
    <mergeCell ref="L30:M30"/>
    <mergeCell ref="D9:E9"/>
    <mergeCell ref="F9:G9"/>
    <mergeCell ref="T31:U31"/>
    <mergeCell ref="AF5:AG5"/>
    <mergeCell ref="F22:G22"/>
    <mergeCell ref="H22:I22"/>
    <mergeCell ref="AP27:AQ27"/>
    <mergeCell ref="H35:I35"/>
    <mergeCell ref="AL34:AM34"/>
    <mergeCell ref="F29:G29"/>
    <mergeCell ref="H10:I10"/>
    <mergeCell ref="J10:K10"/>
    <mergeCell ref="R28:S28"/>
    <mergeCell ref="J28:K28"/>
    <mergeCell ref="L28:M28"/>
    <mergeCell ref="P34:Q34"/>
    <mergeCell ref="H34:I34"/>
    <mergeCell ref="R34:S34"/>
    <mergeCell ref="J34:K34"/>
    <mergeCell ref="AH27:AI27"/>
    <mergeCell ref="AD23:AE23"/>
    <mergeCell ref="F12:G12"/>
    <mergeCell ref="F35:G35"/>
    <mergeCell ref="AF33:AG33"/>
    <mergeCell ref="F25:G25"/>
    <mergeCell ref="AJ35:AK35"/>
    <mergeCell ref="AL35:AM35"/>
    <mergeCell ref="AB35:AC35"/>
    <mergeCell ref="T35:U35"/>
    <mergeCell ref="AD35:AE35"/>
    <mergeCell ref="V35:W35"/>
    <mergeCell ref="D18:E18"/>
    <mergeCell ref="V26:W26"/>
    <mergeCell ref="AF23:AG23"/>
    <mergeCell ref="X26:Y26"/>
    <mergeCell ref="AB17:AC17"/>
    <mergeCell ref="AH16:AI16"/>
    <mergeCell ref="Z19:AA19"/>
    <mergeCell ref="H33:I33"/>
    <mergeCell ref="AJ16:AK16"/>
    <mergeCell ref="AB19:AC19"/>
    <mergeCell ref="J33:K33"/>
    <mergeCell ref="D31:E31"/>
    <mergeCell ref="AH33:AI33"/>
    <mergeCell ref="F27:G27"/>
    <mergeCell ref="D30:E30"/>
    <mergeCell ref="F18:G18"/>
    <mergeCell ref="AD28:AE28"/>
    <mergeCell ref="F17:G17"/>
    <mergeCell ref="H17:I17"/>
    <mergeCell ref="AD30:AE30"/>
    <mergeCell ref="AF30:AG30"/>
    <mergeCell ref="L32:M32"/>
    <mergeCell ref="N32:O32"/>
    <mergeCell ref="V23:W23"/>
    <mergeCell ref="D5:E5"/>
    <mergeCell ref="R9:S9"/>
    <mergeCell ref="AN28:AO28"/>
    <mergeCell ref="AP28:AQ28"/>
    <mergeCell ref="Z6:AA6"/>
    <mergeCell ref="H20:I20"/>
    <mergeCell ref="AB6:AC6"/>
    <mergeCell ref="AL30:AM30"/>
    <mergeCell ref="AP21:AQ21"/>
    <mergeCell ref="R11:S11"/>
    <mergeCell ref="J14:K14"/>
    <mergeCell ref="AN30:AO30"/>
    <mergeCell ref="R13:S13"/>
    <mergeCell ref="J13:K13"/>
    <mergeCell ref="AH5:AI5"/>
    <mergeCell ref="L13:M13"/>
    <mergeCell ref="D21:E21"/>
    <mergeCell ref="AP23:AQ23"/>
    <mergeCell ref="V29:W29"/>
    <mergeCell ref="R15:S15"/>
    <mergeCell ref="J15:K15"/>
    <mergeCell ref="T10:U10"/>
    <mergeCell ref="V10:W10"/>
    <mergeCell ref="AL25:AM25"/>
    <mergeCell ref="B9:B12"/>
    <mergeCell ref="X5:Y5"/>
    <mergeCell ref="Z5:AA5"/>
    <mergeCell ref="H19:I19"/>
    <mergeCell ref="H12:I12"/>
    <mergeCell ref="AJ20:AK20"/>
    <mergeCell ref="J12:K12"/>
    <mergeCell ref="AF31:AG31"/>
    <mergeCell ref="AR11:AS11"/>
    <mergeCell ref="D15:E15"/>
    <mergeCell ref="AL20:AM20"/>
    <mergeCell ref="P14:Q14"/>
    <mergeCell ref="AH22:AI22"/>
    <mergeCell ref="R14:S14"/>
    <mergeCell ref="H14:I14"/>
    <mergeCell ref="AJ22:AK22"/>
    <mergeCell ref="AN13:AO13"/>
    <mergeCell ref="AL22:AM22"/>
    <mergeCell ref="AP13:AQ13"/>
    <mergeCell ref="V21:W21"/>
    <mergeCell ref="X21:Y21"/>
    <mergeCell ref="AL15:AM15"/>
    <mergeCell ref="T29:U29"/>
    <mergeCell ref="AN15:AO15"/>
    <mergeCell ref="R27:S27"/>
    <mergeCell ref="AB9:AC9"/>
    <mergeCell ref="Z18:AA18"/>
    <mergeCell ref="Z17:AA17"/>
    <mergeCell ref="R20:S20"/>
    <mergeCell ref="AB11:AC11"/>
    <mergeCell ref="AD11:AE11"/>
    <mergeCell ref="R22:S22"/>
    <mergeCell ref="AF8:AG8"/>
    <mergeCell ref="Z13:AA13"/>
    <mergeCell ref="AB13:AC13"/>
    <mergeCell ref="D7:E7"/>
    <mergeCell ref="L29:M29"/>
    <mergeCell ref="AN12:AO12"/>
    <mergeCell ref="AF15:AG15"/>
    <mergeCell ref="V15:W15"/>
    <mergeCell ref="AF12:AG12"/>
    <mergeCell ref="X15:Y15"/>
    <mergeCell ref="N29:O29"/>
    <mergeCell ref="F23:G23"/>
    <mergeCell ref="AL14:AM14"/>
    <mergeCell ref="AN14:AO14"/>
    <mergeCell ref="AN7:AO7"/>
    <mergeCell ref="N24:O24"/>
    <mergeCell ref="P24:Q24"/>
    <mergeCell ref="R18:S18"/>
    <mergeCell ref="N26:O26"/>
    <mergeCell ref="P26:Q26"/>
    <mergeCell ref="P27:Q27"/>
    <mergeCell ref="J25:K25"/>
    <mergeCell ref="L25:M25"/>
    <mergeCell ref="D28:E28"/>
    <mergeCell ref="L15:M15"/>
    <mergeCell ref="D16:E16"/>
    <mergeCell ref="AF21:AG21"/>
    <mergeCell ref="AT32:AU32"/>
    <mergeCell ref="AL12:AM12"/>
    <mergeCell ref="J31:K31"/>
    <mergeCell ref="L31:M31"/>
    <mergeCell ref="N31:O31"/>
    <mergeCell ref="AR21:AS21"/>
    <mergeCell ref="AT21:AU21"/>
    <mergeCell ref="AP7:AQ7"/>
    <mergeCell ref="AH32:AI32"/>
    <mergeCell ref="AJ32:AK32"/>
    <mergeCell ref="AT12:AU12"/>
    <mergeCell ref="AR23:AS23"/>
    <mergeCell ref="AT14:AU14"/>
    <mergeCell ref="V31:W31"/>
    <mergeCell ref="X24:Y24"/>
    <mergeCell ref="AT15:AU15"/>
    <mergeCell ref="V32:W32"/>
    <mergeCell ref="R19:S19"/>
    <mergeCell ref="AR27:AS27"/>
    <mergeCell ref="X8:Y8"/>
    <mergeCell ref="AT27:AU27"/>
    <mergeCell ref="AJ27:AK27"/>
    <mergeCell ref="AL27:AM27"/>
    <mergeCell ref="AT11:AU11"/>
    <mergeCell ref="AP3:AU3"/>
    <mergeCell ref="AJ3:AO3"/>
    <mergeCell ref="AD3:AI3"/>
    <mergeCell ref="X3:AC3"/>
    <mergeCell ref="F16:G16"/>
    <mergeCell ref="H9:I9"/>
    <mergeCell ref="J9:K9"/>
    <mergeCell ref="V20:W20"/>
    <mergeCell ref="P6:Q6"/>
    <mergeCell ref="R6:S6"/>
    <mergeCell ref="AT5:AU5"/>
    <mergeCell ref="AP8:AQ8"/>
    <mergeCell ref="AR8:AS8"/>
    <mergeCell ref="X18:Y18"/>
    <mergeCell ref="F20:G20"/>
    <mergeCell ref="P11:Q11"/>
    <mergeCell ref="AR6:AS6"/>
    <mergeCell ref="AJ6:AK6"/>
    <mergeCell ref="AB7:AC7"/>
    <mergeCell ref="AL7:AM7"/>
    <mergeCell ref="AL13:AM13"/>
    <mergeCell ref="AT9:AU9"/>
    <mergeCell ref="AN11:AO11"/>
    <mergeCell ref="AP11:AQ11"/>
  </mergeCells>
  <phoneticPr fontId="2" type="noConversion"/>
  <printOptions horizontalCentered="1"/>
  <pageMargins left="0.39370078740157483" right="0.39370078740157483" top="0.78740157480314965" bottom="0.19685039370078741" header="0.39370078740157483" footer="0.19685039370078741"/>
  <pageSetup paperSize="9" scale="54" orientation="portrait" r:id="rId1"/>
  <colBreaks count="1" manualBreakCount="1">
    <brk id="4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W46"/>
  <sheetViews>
    <sheetView showGridLines="0" view="pageBreakPreview" zoomScale="80" zoomScaleNormal="80" zoomScaleSheetLayoutView="80" workbookViewId="0">
      <pane ySplit="5" topLeftCell="A6" activePane="bottomLeft" state="frozen"/>
      <selection activeCell="E8" sqref="E8:H8"/>
      <selection pane="bottomLeft" activeCell="AX5" sqref="AX5"/>
    </sheetView>
  </sheetViews>
  <sheetFormatPr defaultRowHeight="17.600000000000001"/>
  <cols>
    <col min="1" max="2" width="8.765625" style="5" customWidth="1"/>
    <col min="3" max="3" width="54.3828125" style="5" bestFit="1" customWidth="1"/>
    <col min="4" max="47" width="2.4609375" style="5" customWidth="1"/>
    <col min="48" max="48" width="9.23046875" style="175" customWidth="1"/>
    <col min="49" max="255" width="9.23046875" style="5" customWidth="1"/>
    <col min="256" max="257" width="6.921875" style="5" customWidth="1"/>
    <col min="258" max="258" width="30.765625" style="5" customWidth="1"/>
    <col min="259" max="302" width="2.3046875" style="5" customWidth="1"/>
    <col min="303" max="303" width="1.921875" style="5" customWidth="1"/>
    <col min="304" max="511" width="9.23046875" style="5" customWidth="1"/>
    <col min="512" max="513" width="6.921875" style="5" customWidth="1"/>
    <col min="514" max="514" width="30.765625" style="5" customWidth="1"/>
    <col min="515" max="558" width="2.3046875" style="5" customWidth="1"/>
    <col min="559" max="559" width="1.921875" style="5" customWidth="1"/>
    <col min="560" max="767" width="9.23046875" style="5" customWidth="1"/>
    <col min="768" max="769" width="6.921875" style="5" customWidth="1"/>
    <col min="770" max="770" width="30.765625" style="5" customWidth="1"/>
    <col min="771" max="814" width="2.3046875" style="5" customWidth="1"/>
    <col min="815" max="815" width="1.921875" style="5" customWidth="1"/>
    <col min="816" max="1023" width="9.23046875" style="5" customWidth="1"/>
    <col min="1024" max="1025" width="6.921875" style="5" customWidth="1"/>
    <col min="1026" max="1026" width="30.765625" style="5" customWidth="1"/>
    <col min="1027" max="1070" width="2.3046875" style="5" customWidth="1"/>
    <col min="1071" max="1071" width="1.921875" style="5" customWidth="1"/>
    <col min="1072" max="1279" width="9.23046875" style="5" customWidth="1"/>
    <col min="1280" max="1281" width="6.921875" style="5" customWidth="1"/>
    <col min="1282" max="1282" width="30.765625" style="5" customWidth="1"/>
    <col min="1283" max="1326" width="2.3046875" style="5" customWidth="1"/>
    <col min="1327" max="1327" width="1.921875" style="5" customWidth="1"/>
    <col min="1328" max="1535" width="9.23046875" style="5" customWidth="1"/>
    <col min="1536" max="1537" width="6.921875" style="5" customWidth="1"/>
    <col min="1538" max="1538" width="30.765625" style="5" customWidth="1"/>
    <col min="1539" max="1582" width="2.3046875" style="5" customWidth="1"/>
    <col min="1583" max="1583" width="1.921875" style="5" customWidth="1"/>
    <col min="1584" max="1791" width="9.23046875" style="5" customWidth="1"/>
    <col min="1792" max="1793" width="6.921875" style="5" customWidth="1"/>
    <col min="1794" max="1794" width="30.765625" style="5" customWidth="1"/>
    <col min="1795" max="1838" width="2.3046875" style="5" customWidth="1"/>
    <col min="1839" max="1839" width="1.921875" style="5" customWidth="1"/>
    <col min="1840" max="2047" width="9.23046875" style="5" customWidth="1"/>
    <col min="2048" max="2049" width="6.921875" style="5" customWidth="1"/>
    <col min="2050" max="2050" width="30.765625" style="5" customWidth="1"/>
    <col min="2051" max="2094" width="2.3046875" style="5" customWidth="1"/>
    <col min="2095" max="2095" width="1.921875" style="5" customWidth="1"/>
    <col min="2096" max="2303" width="9.23046875" style="5" customWidth="1"/>
    <col min="2304" max="2305" width="6.921875" style="5" customWidth="1"/>
    <col min="2306" max="2306" width="30.765625" style="5" customWidth="1"/>
    <col min="2307" max="2350" width="2.3046875" style="5" customWidth="1"/>
    <col min="2351" max="2351" width="1.921875" style="5" customWidth="1"/>
    <col min="2352" max="2559" width="9.23046875" style="5" customWidth="1"/>
    <col min="2560" max="2561" width="6.921875" style="5" customWidth="1"/>
    <col min="2562" max="2562" width="30.765625" style="5" customWidth="1"/>
    <col min="2563" max="2606" width="2.3046875" style="5" customWidth="1"/>
    <col min="2607" max="2607" width="1.921875" style="5" customWidth="1"/>
    <col min="2608" max="2815" width="9.23046875" style="5" customWidth="1"/>
    <col min="2816" max="2817" width="6.921875" style="5" customWidth="1"/>
    <col min="2818" max="2818" width="30.765625" style="5" customWidth="1"/>
    <col min="2819" max="2862" width="2.3046875" style="5" customWidth="1"/>
    <col min="2863" max="2863" width="1.921875" style="5" customWidth="1"/>
    <col min="2864" max="3071" width="9.23046875" style="5" customWidth="1"/>
    <col min="3072" max="3073" width="6.921875" style="5" customWidth="1"/>
    <col min="3074" max="3074" width="30.765625" style="5" customWidth="1"/>
    <col min="3075" max="3118" width="2.3046875" style="5" customWidth="1"/>
    <col min="3119" max="3119" width="1.921875" style="5" customWidth="1"/>
    <col min="3120" max="3327" width="9.23046875" style="5" customWidth="1"/>
    <col min="3328" max="3329" width="6.921875" style="5" customWidth="1"/>
    <col min="3330" max="3330" width="30.765625" style="5" customWidth="1"/>
    <col min="3331" max="3374" width="2.3046875" style="5" customWidth="1"/>
    <col min="3375" max="3375" width="1.921875" style="5" customWidth="1"/>
    <col min="3376" max="3583" width="9.23046875" style="5" customWidth="1"/>
    <col min="3584" max="3585" width="6.921875" style="5" customWidth="1"/>
    <col min="3586" max="3586" width="30.765625" style="5" customWidth="1"/>
    <col min="3587" max="3630" width="2.3046875" style="5" customWidth="1"/>
    <col min="3631" max="3631" width="1.921875" style="5" customWidth="1"/>
    <col min="3632" max="3839" width="9.23046875" style="5" customWidth="1"/>
    <col min="3840" max="3841" width="6.921875" style="5" customWidth="1"/>
    <col min="3842" max="3842" width="30.765625" style="5" customWidth="1"/>
    <col min="3843" max="3886" width="2.3046875" style="5" customWidth="1"/>
    <col min="3887" max="3887" width="1.921875" style="5" customWidth="1"/>
    <col min="3888" max="4095" width="9.23046875" style="5" customWidth="1"/>
    <col min="4096" max="4097" width="6.921875" style="5" customWidth="1"/>
    <col min="4098" max="4098" width="30.765625" style="5" customWidth="1"/>
    <col min="4099" max="4142" width="2.3046875" style="5" customWidth="1"/>
    <col min="4143" max="4143" width="1.921875" style="5" customWidth="1"/>
    <col min="4144" max="4351" width="9.23046875" style="5" customWidth="1"/>
    <col min="4352" max="4353" width="6.921875" style="5" customWidth="1"/>
    <col min="4354" max="4354" width="30.765625" style="5" customWidth="1"/>
    <col min="4355" max="4398" width="2.3046875" style="5" customWidth="1"/>
    <col min="4399" max="4399" width="1.921875" style="5" customWidth="1"/>
    <col min="4400" max="4607" width="9.23046875" style="5" customWidth="1"/>
    <col min="4608" max="4609" width="6.921875" style="5" customWidth="1"/>
    <col min="4610" max="4610" width="30.765625" style="5" customWidth="1"/>
    <col min="4611" max="4654" width="2.3046875" style="5" customWidth="1"/>
    <col min="4655" max="4655" width="1.921875" style="5" customWidth="1"/>
    <col min="4656" max="4863" width="9.23046875" style="5" customWidth="1"/>
    <col min="4864" max="4865" width="6.921875" style="5" customWidth="1"/>
    <col min="4866" max="4866" width="30.765625" style="5" customWidth="1"/>
    <col min="4867" max="4910" width="2.3046875" style="5" customWidth="1"/>
    <col min="4911" max="4911" width="1.921875" style="5" customWidth="1"/>
    <col min="4912" max="5119" width="9.23046875" style="5" customWidth="1"/>
    <col min="5120" max="5121" width="6.921875" style="5" customWidth="1"/>
    <col min="5122" max="5122" width="30.765625" style="5" customWidth="1"/>
    <col min="5123" max="5166" width="2.3046875" style="5" customWidth="1"/>
    <col min="5167" max="5167" width="1.921875" style="5" customWidth="1"/>
    <col min="5168" max="5375" width="9.23046875" style="5" customWidth="1"/>
    <col min="5376" max="5377" width="6.921875" style="5" customWidth="1"/>
    <col min="5378" max="5378" width="30.765625" style="5" customWidth="1"/>
    <col min="5379" max="5422" width="2.3046875" style="5" customWidth="1"/>
    <col min="5423" max="5423" width="1.921875" style="5" customWidth="1"/>
    <col min="5424" max="5631" width="9.23046875" style="5" customWidth="1"/>
    <col min="5632" max="5633" width="6.921875" style="5" customWidth="1"/>
    <col min="5634" max="5634" width="30.765625" style="5" customWidth="1"/>
    <col min="5635" max="5678" width="2.3046875" style="5" customWidth="1"/>
    <col min="5679" max="5679" width="1.921875" style="5" customWidth="1"/>
    <col min="5680" max="5887" width="9.23046875" style="5" customWidth="1"/>
    <col min="5888" max="5889" width="6.921875" style="5" customWidth="1"/>
    <col min="5890" max="5890" width="30.765625" style="5" customWidth="1"/>
    <col min="5891" max="5934" width="2.3046875" style="5" customWidth="1"/>
    <col min="5935" max="5935" width="1.921875" style="5" customWidth="1"/>
    <col min="5936" max="6143" width="9.23046875" style="5" customWidth="1"/>
    <col min="6144" max="6145" width="6.921875" style="5" customWidth="1"/>
    <col min="6146" max="6146" width="30.765625" style="5" customWidth="1"/>
    <col min="6147" max="6190" width="2.3046875" style="5" customWidth="1"/>
    <col min="6191" max="6191" width="1.921875" style="5" customWidth="1"/>
    <col min="6192" max="6399" width="9.23046875" style="5" customWidth="1"/>
    <col min="6400" max="6401" width="6.921875" style="5" customWidth="1"/>
    <col min="6402" max="6402" width="30.765625" style="5" customWidth="1"/>
    <col min="6403" max="6446" width="2.3046875" style="5" customWidth="1"/>
    <col min="6447" max="6447" width="1.921875" style="5" customWidth="1"/>
    <col min="6448" max="6655" width="9.23046875" style="5" customWidth="1"/>
    <col min="6656" max="6657" width="6.921875" style="5" customWidth="1"/>
    <col min="6658" max="6658" width="30.765625" style="5" customWidth="1"/>
    <col min="6659" max="6702" width="2.3046875" style="5" customWidth="1"/>
    <col min="6703" max="6703" width="1.921875" style="5" customWidth="1"/>
    <col min="6704" max="6911" width="9.23046875" style="5" customWidth="1"/>
    <col min="6912" max="6913" width="6.921875" style="5" customWidth="1"/>
    <col min="6914" max="6914" width="30.765625" style="5" customWidth="1"/>
    <col min="6915" max="6958" width="2.3046875" style="5" customWidth="1"/>
    <col min="6959" max="6959" width="1.921875" style="5" customWidth="1"/>
    <col min="6960" max="7167" width="9.23046875" style="5" customWidth="1"/>
    <col min="7168" max="7169" width="6.921875" style="5" customWidth="1"/>
    <col min="7170" max="7170" width="30.765625" style="5" customWidth="1"/>
    <col min="7171" max="7214" width="2.3046875" style="5" customWidth="1"/>
    <col min="7215" max="7215" width="1.921875" style="5" customWidth="1"/>
    <col min="7216" max="7423" width="9.23046875" style="5" customWidth="1"/>
    <col min="7424" max="7425" width="6.921875" style="5" customWidth="1"/>
    <col min="7426" max="7426" width="30.765625" style="5" customWidth="1"/>
    <col min="7427" max="7470" width="2.3046875" style="5" customWidth="1"/>
    <col min="7471" max="7471" width="1.921875" style="5" customWidth="1"/>
    <col min="7472" max="7679" width="9.23046875" style="5" customWidth="1"/>
    <col min="7680" max="7681" width="6.921875" style="5" customWidth="1"/>
    <col min="7682" max="7682" width="30.765625" style="5" customWidth="1"/>
    <col min="7683" max="7726" width="2.3046875" style="5" customWidth="1"/>
    <col min="7727" max="7727" width="1.921875" style="5" customWidth="1"/>
    <col min="7728" max="7935" width="9.23046875" style="5" customWidth="1"/>
    <col min="7936" max="7937" width="6.921875" style="5" customWidth="1"/>
    <col min="7938" max="7938" width="30.765625" style="5" customWidth="1"/>
    <col min="7939" max="7982" width="2.3046875" style="5" customWidth="1"/>
    <col min="7983" max="7983" width="1.921875" style="5" customWidth="1"/>
    <col min="7984" max="8191" width="9.23046875" style="5" customWidth="1"/>
    <col min="8192" max="8193" width="6.921875" style="5" customWidth="1"/>
    <col min="8194" max="8194" width="30.765625" style="5" customWidth="1"/>
    <col min="8195" max="8238" width="2.3046875" style="5" customWidth="1"/>
    <col min="8239" max="8239" width="1.921875" style="5" customWidth="1"/>
    <col min="8240" max="8447" width="9.23046875" style="5" customWidth="1"/>
    <col min="8448" max="8449" width="6.921875" style="5" customWidth="1"/>
    <col min="8450" max="8450" width="30.765625" style="5" customWidth="1"/>
    <col min="8451" max="8494" width="2.3046875" style="5" customWidth="1"/>
    <col min="8495" max="8495" width="1.921875" style="5" customWidth="1"/>
    <col min="8496" max="8703" width="9.23046875" style="5" customWidth="1"/>
    <col min="8704" max="8705" width="6.921875" style="5" customWidth="1"/>
    <col min="8706" max="8706" width="30.765625" style="5" customWidth="1"/>
    <col min="8707" max="8750" width="2.3046875" style="5" customWidth="1"/>
    <col min="8751" max="8751" width="1.921875" style="5" customWidth="1"/>
    <col min="8752" max="8959" width="9.23046875" style="5" customWidth="1"/>
    <col min="8960" max="8961" width="6.921875" style="5" customWidth="1"/>
    <col min="8962" max="8962" width="30.765625" style="5" customWidth="1"/>
    <col min="8963" max="9006" width="2.3046875" style="5" customWidth="1"/>
    <col min="9007" max="9007" width="1.921875" style="5" customWidth="1"/>
    <col min="9008" max="9215" width="9.23046875" style="5" customWidth="1"/>
    <col min="9216" max="9217" width="6.921875" style="5" customWidth="1"/>
    <col min="9218" max="9218" width="30.765625" style="5" customWidth="1"/>
    <col min="9219" max="9262" width="2.3046875" style="5" customWidth="1"/>
    <col min="9263" max="9263" width="1.921875" style="5" customWidth="1"/>
    <col min="9264" max="9471" width="9.23046875" style="5" customWidth="1"/>
    <col min="9472" max="9473" width="6.921875" style="5" customWidth="1"/>
    <col min="9474" max="9474" width="30.765625" style="5" customWidth="1"/>
    <col min="9475" max="9518" width="2.3046875" style="5" customWidth="1"/>
    <col min="9519" max="9519" width="1.921875" style="5" customWidth="1"/>
    <col min="9520" max="9727" width="9.23046875" style="5" customWidth="1"/>
    <col min="9728" max="9729" width="6.921875" style="5" customWidth="1"/>
    <col min="9730" max="9730" width="30.765625" style="5" customWidth="1"/>
    <col min="9731" max="9774" width="2.3046875" style="5" customWidth="1"/>
    <col min="9775" max="9775" width="1.921875" style="5" customWidth="1"/>
    <col min="9776" max="9983" width="9.23046875" style="5" customWidth="1"/>
    <col min="9984" max="9985" width="6.921875" style="5" customWidth="1"/>
    <col min="9986" max="9986" width="30.765625" style="5" customWidth="1"/>
    <col min="9987" max="10030" width="2.3046875" style="5" customWidth="1"/>
    <col min="10031" max="10031" width="1.921875" style="5" customWidth="1"/>
    <col min="10032" max="10239" width="9.23046875" style="5" customWidth="1"/>
    <col min="10240" max="10241" width="6.921875" style="5" customWidth="1"/>
    <col min="10242" max="10242" width="30.765625" style="5" customWidth="1"/>
    <col min="10243" max="10286" width="2.3046875" style="5" customWidth="1"/>
    <col min="10287" max="10287" width="1.921875" style="5" customWidth="1"/>
    <col min="10288" max="10495" width="9.23046875" style="5" customWidth="1"/>
    <col min="10496" max="10497" width="6.921875" style="5" customWidth="1"/>
    <col min="10498" max="10498" width="30.765625" style="5" customWidth="1"/>
    <col min="10499" max="10542" width="2.3046875" style="5" customWidth="1"/>
    <col min="10543" max="10543" width="1.921875" style="5" customWidth="1"/>
    <col min="10544" max="10751" width="9.23046875" style="5" customWidth="1"/>
    <col min="10752" max="10753" width="6.921875" style="5" customWidth="1"/>
    <col min="10754" max="10754" width="30.765625" style="5" customWidth="1"/>
    <col min="10755" max="10798" width="2.3046875" style="5" customWidth="1"/>
    <col min="10799" max="10799" width="1.921875" style="5" customWidth="1"/>
    <col min="10800" max="11007" width="9.23046875" style="5" customWidth="1"/>
    <col min="11008" max="11009" width="6.921875" style="5" customWidth="1"/>
    <col min="11010" max="11010" width="30.765625" style="5" customWidth="1"/>
    <col min="11011" max="11054" width="2.3046875" style="5" customWidth="1"/>
    <col min="11055" max="11055" width="1.921875" style="5" customWidth="1"/>
    <col min="11056" max="11263" width="9.23046875" style="5" customWidth="1"/>
    <col min="11264" max="11265" width="6.921875" style="5" customWidth="1"/>
    <col min="11266" max="11266" width="30.765625" style="5" customWidth="1"/>
    <col min="11267" max="11310" width="2.3046875" style="5" customWidth="1"/>
    <col min="11311" max="11311" width="1.921875" style="5" customWidth="1"/>
    <col min="11312" max="11519" width="9.23046875" style="5" customWidth="1"/>
    <col min="11520" max="11521" width="6.921875" style="5" customWidth="1"/>
    <col min="11522" max="11522" width="30.765625" style="5" customWidth="1"/>
    <col min="11523" max="11566" width="2.3046875" style="5" customWidth="1"/>
    <col min="11567" max="11567" width="1.921875" style="5" customWidth="1"/>
    <col min="11568" max="11775" width="9.23046875" style="5" customWidth="1"/>
    <col min="11776" max="11777" width="6.921875" style="5" customWidth="1"/>
    <col min="11778" max="11778" width="30.765625" style="5" customWidth="1"/>
    <col min="11779" max="11822" width="2.3046875" style="5" customWidth="1"/>
    <col min="11823" max="11823" width="1.921875" style="5" customWidth="1"/>
    <col min="11824" max="12031" width="9.23046875" style="5" customWidth="1"/>
    <col min="12032" max="12033" width="6.921875" style="5" customWidth="1"/>
    <col min="12034" max="12034" width="30.765625" style="5" customWidth="1"/>
    <col min="12035" max="12078" width="2.3046875" style="5" customWidth="1"/>
    <col min="12079" max="12079" width="1.921875" style="5" customWidth="1"/>
    <col min="12080" max="12287" width="9.23046875" style="5" customWidth="1"/>
    <col min="12288" max="12289" width="6.921875" style="5" customWidth="1"/>
    <col min="12290" max="12290" width="30.765625" style="5" customWidth="1"/>
    <col min="12291" max="12334" width="2.3046875" style="5" customWidth="1"/>
    <col min="12335" max="12335" width="1.921875" style="5" customWidth="1"/>
    <col min="12336" max="12543" width="9.23046875" style="5" customWidth="1"/>
    <col min="12544" max="12545" width="6.921875" style="5" customWidth="1"/>
    <col min="12546" max="12546" width="30.765625" style="5" customWidth="1"/>
    <col min="12547" max="12590" width="2.3046875" style="5" customWidth="1"/>
    <col min="12591" max="12591" width="1.921875" style="5" customWidth="1"/>
    <col min="12592" max="12799" width="9.23046875" style="5" customWidth="1"/>
    <col min="12800" max="12801" width="6.921875" style="5" customWidth="1"/>
    <col min="12802" max="12802" width="30.765625" style="5" customWidth="1"/>
    <col min="12803" max="12846" width="2.3046875" style="5" customWidth="1"/>
    <col min="12847" max="12847" width="1.921875" style="5" customWidth="1"/>
    <col min="12848" max="13055" width="9.23046875" style="5" customWidth="1"/>
    <col min="13056" max="13057" width="6.921875" style="5" customWidth="1"/>
    <col min="13058" max="13058" width="30.765625" style="5" customWidth="1"/>
    <col min="13059" max="13102" width="2.3046875" style="5" customWidth="1"/>
    <col min="13103" max="13103" width="1.921875" style="5" customWidth="1"/>
    <col min="13104" max="13311" width="9.23046875" style="5" customWidth="1"/>
    <col min="13312" max="13313" width="6.921875" style="5" customWidth="1"/>
    <col min="13314" max="13314" width="30.765625" style="5" customWidth="1"/>
    <col min="13315" max="13358" width="2.3046875" style="5" customWidth="1"/>
    <col min="13359" max="13359" width="1.921875" style="5" customWidth="1"/>
    <col min="13360" max="13567" width="9.23046875" style="5" customWidth="1"/>
    <col min="13568" max="13569" width="6.921875" style="5" customWidth="1"/>
    <col min="13570" max="13570" width="30.765625" style="5" customWidth="1"/>
    <col min="13571" max="13614" width="2.3046875" style="5" customWidth="1"/>
    <col min="13615" max="13615" width="1.921875" style="5" customWidth="1"/>
    <col min="13616" max="13823" width="9.23046875" style="5" customWidth="1"/>
    <col min="13824" max="13825" width="6.921875" style="5" customWidth="1"/>
    <col min="13826" max="13826" width="30.765625" style="5" customWidth="1"/>
    <col min="13827" max="13870" width="2.3046875" style="5" customWidth="1"/>
    <col min="13871" max="13871" width="1.921875" style="5" customWidth="1"/>
    <col min="13872" max="14079" width="9.23046875" style="5" customWidth="1"/>
    <col min="14080" max="14081" width="6.921875" style="5" customWidth="1"/>
    <col min="14082" max="14082" width="30.765625" style="5" customWidth="1"/>
    <col min="14083" max="14126" width="2.3046875" style="5" customWidth="1"/>
    <col min="14127" max="14127" width="1.921875" style="5" customWidth="1"/>
    <col min="14128" max="14335" width="9.23046875" style="5" customWidth="1"/>
    <col min="14336" max="14337" width="6.921875" style="5" customWidth="1"/>
    <col min="14338" max="14338" width="30.765625" style="5" customWidth="1"/>
    <col min="14339" max="14382" width="2.3046875" style="5" customWidth="1"/>
    <col min="14383" max="14383" width="1.921875" style="5" customWidth="1"/>
    <col min="14384" max="14591" width="9.23046875" style="5" customWidth="1"/>
    <col min="14592" max="14593" width="6.921875" style="5" customWidth="1"/>
    <col min="14594" max="14594" width="30.765625" style="5" customWidth="1"/>
    <col min="14595" max="14638" width="2.3046875" style="5" customWidth="1"/>
    <col min="14639" max="14639" width="1.921875" style="5" customWidth="1"/>
    <col min="14640" max="14847" width="9.23046875" style="5" customWidth="1"/>
    <col min="14848" max="14849" width="6.921875" style="5" customWidth="1"/>
    <col min="14850" max="14850" width="30.765625" style="5" customWidth="1"/>
    <col min="14851" max="14894" width="2.3046875" style="5" customWidth="1"/>
    <col min="14895" max="14895" width="1.921875" style="5" customWidth="1"/>
    <col min="14896" max="15103" width="9.23046875" style="5" customWidth="1"/>
    <col min="15104" max="15105" width="6.921875" style="5" customWidth="1"/>
    <col min="15106" max="15106" width="30.765625" style="5" customWidth="1"/>
    <col min="15107" max="15150" width="2.3046875" style="5" customWidth="1"/>
    <col min="15151" max="15151" width="1.921875" style="5" customWidth="1"/>
    <col min="15152" max="15359" width="9.23046875" style="5" customWidth="1"/>
    <col min="15360" max="15361" width="6.921875" style="5" customWidth="1"/>
    <col min="15362" max="15362" width="30.765625" style="5" customWidth="1"/>
    <col min="15363" max="15406" width="2.3046875" style="5" customWidth="1"/>
    <col min="15407" max="15407" width="1.921875" style="5" customWidth="1"/>
    <col min="15408" max="15615" width="9.23046875" style="5" customWidth="1"/>
    <col min="15616" max="15617" width="6.921875" style="5" customWidth="1"/>
    <col min="15618" max="15618" width="30.765625" style="5" customWidth="1"/>
    <col min="15619" max="15662" width="2.3046875" style="5" customWidth="1"/>
    <col min="15663" max="15663" width="1.921875" style="5" customWidth="1"/>
    <col min="15664" max="15871" width="9.23046875" style="5" customWidth="1"/>
    <col min="15872" max="15873" width="6.921875" style="5" customWidth="1"/>
    <col min="15874" max="15874" width="30.765625" style="5" customWidth="1"/>
    <col min="15875" max="15918" width="2.3046875" style="5" customWidth="1"/>
    <col min="15919" max="15919" width="1.921875" style="5" customWidth="1"/>
    <col min="15920" max="16127" width="9.23046875" style="5" customWidth="1"/>
    <col min="16128" max="16129" width="6.921875" style="5" customWidth="1"/>
    <col min="16130" max="16130" width="30.765625" style="5" customWidth="1"/>
    <col min="16131" max="16174" width="2.3046875" style="5" customWidth="1"/>
    <col min="16175" max="16175" width="1.921875" style="5" customWidth="1"/>
    <col min="16176" max="16384" width="9.23046875" style="5" customWidth="1"/>
  </cols>
  <sheetData>
    <row r="1" spans="1:49" s="15" customFormat="1" ht="50.05" customHeight="1">
      <c r="A1" s="176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7"/>
      <c r="AG1" s="176"/>
      <c r="AH1" s="176"/>
      <c r="AI1" s="176"/>
      <c r="AJ1" s="176"/>
      <c r="AK1" s="176"/>
      <c r="AL1" s="177"/>
      <c r="AM1" s="176"/>
      <c r="AN1" s="177"/>
      <c r="AO1" s="176"/>
      <c r="AP1" s="176"/>
      <c r="AQ1" s="176"/>
      <c r="AR1" s="177"/>
      <c r="AS1" s="176"/>
      <c r="AT1" s="176"/>
      <c r="AU1" s="176"/>
      <c r="AV1" s="154"/>
      <c r="AW1" s="234"/>
    </row>
    <row r="2" spans="1:49" s="6" customFormat="1" ht="20.05" customHeight="1">
      <c r="A2" s="11"/>
      <c r="B2" s="14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55"/>
      <c r="AW2" s="234"/>
    </row>
    <row r="3" spans="1:49" s="12" customFormat="1" ht="30" customHeight="1">
      <c r="A3" s="156" t="s">
        <v>76</v>
      </c>
      <c r="B3" s="156"/>
      <c r="C3" s="156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280"/>
      <c r="X3" s="313" t="s">
        <v>322</v>
      </c>
      <c r="Y3" s="313"/>
      <c r="Z3" s="313"/>
      <c r="AA3" s="313"/>
      <c r="AB3" s="313"/>
      <c r="AC3" s="313"/>
      <c r="AD3" s="312" t="s">
        <v>320</v>
      </c>
      <c r="AE3" s="312"/>
      <c r="AF3" s="312"/>
      <c r="AG3" s="312"/>
      <c r="AH3" s="312"/>
      <c r="AI3" s="312"/>
      <c r="AJ3" s="311" t="s">
        <v>323</v>
      </c>
      <c r="AK3" s="311"/>
      <c r="AL3" s="311"/>
      <c r="AM3" s="311"/>
      <c r="AN3" s="311"/>
      <c r="AO3" s="311"/>
      <c r="AP3" s="310" t="s">
        <v>321</v>
      </c>
      <c r="AQ3" s="310"/>
      <c r="AR3" s="310"/>
      <c r="AS3" s="310"/>
      <c r="AT3" s="310"/>
      <c r="AU3" s="310"/>
      <c r="AV3" s="157"/>
      <c r="AW3" s="234"/>
    </row>
    <row r="4" spans="1:49" s="6" customFormat="1" ht="30" customHeight="1">
      <c r="A4" s="335" t="s">
        <v>77</v>
      </c>
      <c r="B4" s="328" t="s">
        <v>78</v>
      </c>
      <c r="C4" s="328" t="s">
        <v>79</v>
      </c>
      <c r="D4" s="337" t="s">
        <v>8</v>
      </c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338"/>
      <c r="AN4" s="338"/>
      <c r="AO4" s="338"/>
      <c r="AP4" s="338"/>
      <c r="AQ4" s="338"/>
      <c r="AR4" s="338"/>
      <c r="AS4" s="338"/>
      <c r="AT4" s="338"/>
      <c r="AU4" s="339"/>
      <c r="AV4" s="155"/>
      <c r="AW4" s="234"/>
    </row>
    <row r="5" spans="1:49" s="6" customFormat="1" ht="30" customHeight="1">
      <c r="A5" s="336"/>
      <c r="B5" s="329"/>
      <c r="C5" s="329"/>
      <c r="D5" s="325"/>
      <c r="E5" s="315"/>
      <c r="F5" s="325"/>
      <c r="G5" s="315"/>
      <c r="H5" s="325"/>
      <c r="I5" s="315"/>
      <c r="J5" s="325"/>
      <c r="K5" s="315"/>
      <c r="L5" s="325"/>
      <c r="M5" s="315"/>
      <c r="N5" s="325"/>
      <c r="O5" s="315"/>
      <c r="P5" s="325"/>
      <c r="Q5" s="315"/>
      <c r="R5" s="325"/>
      <c r="S5" s="315"/>
      <c r="T5" s="325"/>
      <c r="U5" s="315"/>
      <c r="V5" s="325"/>
      <c r="W5" s="315"/>
      <c r="X5" s="325"/>
      <c r="Y5" s="315"/>
      <c r="Z5" s="325"/>
      <c r="AA5" s="315"/>
      <c r="AB5" s="325"/>
      <c r="AC5" s="315"/>
      <c r="AD5" s="325"/>
      <c r="AE5" s="315"/>
      <c r="AF5" s="325"/>
      <c r="AG5" s="315"/>
      <c r="AH5" s="325"/>
      <c r="AI5" s="315"/>
      <c r="AJ5" s="325"/>
      <c r="AK5" s="315"/>
      <c r="AL5" s="325"/>
      <c r="AM5" s="315"/>
      <c r="AN5" s="325"/>
      <c r="AO5" s="315"/>
      <c r="AP5" s="325"/>
      <c r="AQ5" s="315"/>
      <c r="AR5" s="325"/>
      <c r="AS5" s="315"/>
      <c r="AT5" s="325"/>
      <c r="AU5" s="315"/>
      <c r="AV5" s="155"/>
      <c r="AW5" s="234"/>
    </row>
    <row r="6" spans="1:49" s="6" customFormat="1" ht="30" customHeight="1">
      <c r="A6" s="340" t="s">
        <v>123</v>
      </c>
      <c r="B6" s="322" t="s">
        <v>124</v>
      </c>
      <c r="C6" s="158" t="s">
        <v>125</v>
      </c>
      <c r="D6" s="316"/>
      <c r="E6" s="315"/>
      <c r="F6" s="316"/>
      <c r="G6" s="315"/>
      <c r="H6" s="316"/>
      <c r="I6" s="315"/>
      <c r="J6" s="316"/>
      <c r="K6" s="315"/>
      <c r="L6" s="316"/>
      <c r="M6" s="315"/>
      <c r="N6" s="316"/>
      <c r="O6" s="315"/>
      <c r="P6" s="316"/>
      <c r="Q6" s="315"/>
      <c r="R6" s="316"/>
      <c r="S6" s="315"/>
      <c r="T6" s="316"/>
      <c r="U6" s="315"/>
      <c r="V6" s="316" t="s">
        <v>83</v>
      </c>
      <c r="W6" s="315"/>
      <c r="X6" s="316"/>
      <c r="Y6" s="315"/>
      <c r="Z6" s="352"/>
      <c r="AA6" s="315"/>
      <c r="AB6" s="352"/>
      <c r="AC6" s="315"/>
      <c r="AD6" s="352"/>
      <c r="AE6" s="315"/>
      <c r="AF6" s="316"/>
      <c r="AG6" s="315"/>
      <c r="AH6" s="352"/>
      <c r="AI6" s="315"/>
      <c r="AJ6" s="352"/>
      <c r="AK6" s="315"/>
      <c r="AL6" s="316"/>
      <c r="AM6" s="315"/>
      <c r="AN6" s="316"/>
      <c r="AO6" s="315"/>
      <c r="AP6" s="352"/>
      <c r="AQ6" s="315"/>
      <c r="AR6" s="316"/>
      <c r="AS6" s="315"/>
      <c r="AT6" s="352"/>
      <c r="AU6" s="315"/>
      <c r="AV6" s="178"/>
      <c r="AW6" s="236"/>
    </row>
    <row r="7" spans="1:49" s="6" customFormat="1" ht="30" customHeight="1">
      <c r="A7" s="341"/>
      <c r="B7" s="323"/>
      <c r="C7" s="158" t="s">
        <v>126</v>
      </c>
      <c r="D7" s="316"/>
      <c r="E7" s="315"/>
      <c r="F7" s="316"/>
      <c r="G7" s="315"/>
      <c r="H7" s="316"/>
      <c r="I7" s="315"/>
      <c r="J7" s="316"/>
      <c r="K7" s="315"/>
      <c r="L7" s="316"/>
      <c r="M7" s="315"/>
      <c r="N7" s="316"/>
      <c r="O7" s="315"/>
      <c r="P7" s="316"/>
      <c r="Q7" s="315"/>
      <c r="R7" s="316"/>
      <c r="S7" s="315"/>
      <c r="T7" s="316"/>
      <c r="U7" s="315"/>
      <c r="V7" s="316" t="s">
        <v>83</v>
      </c>
      <c r="W7" s="315"/>
      <c r="X7" s="316"/>
      <c r="Y7" s="315"/>
      <c r="Z7" s="316"/>
      <c r="AA7" s="315"/>
      <c r="AB7" s="316"/>
      <c r="AC7" s="315"/>
      <c r="AD7" s="316"/>
      <c r="AE7" s="315"/>
      <c r="AF7" s="316"/>
      <c r="AG7" s="315"/>
      <c r="AH7" s="316"/>
      <c r="AI7" s="315"/>
      <c r="AJ7" s="316"/>
      <c r="AK7" s="315"/>
      <c r="AL7" s="316"/>
      <c r="AM7" s="315"/>
      <c r="AN7" s="316"/>
      <c r="AO7" s="315"/>
      <c r="AP7" s="316"/>
      <c r="AQ7" s="315"/>
      <c r="AR7" s="316"/>
      <c r="AS7" s="315"/>
      <c r="AT7" s="316"/>
      <c r="AU7" s="315"/>
      <c r="AV7" s="178"/>
      <c r="AW7" s="236"/>
    </row>
    <row r="8" spans="1:49" s="6" customFormat="1" ht="30" customHeight="1">
      <c r="A8" s="341"/>
      <c r="B8" s="323"/>
      <c r="C8" s="158" t="s">
        <v>116</v>
      </c>
      <c r="D8" s="316"/>
      <c r="E8" s="315"/>
      <c r="F8" s="316"/>
      <c r="G8" s="315"/>
      <c r="H8" s="316"/>
      <c r="I8" s="315"/>
      <c r="J8" s="316"/>
      <c r="K8" s="315"/>
      <c r="L8" s="316"/>
      <c r="M8" s="315"/>
      <c r="N8" s="316"/>
      <c r="O8" s="315"/>
      <c r="P8" s="316"/>
      <c r="Q8" s="315"/>
      <c r="R8" s="316"/>
      <c r="S8" s="315"/>
      <c r="T8" s="316"/>
      <c r="U8" s="315"/>
      <c r="V8" s="316" t="s">
        <v>83</v>
      </c>
      <c r="W8" s="315"/>
      <c r="X8" s="316"/>
      <c r="Y8" s="315"/>
      <c r="Z8" s="316"/>
      <c r="AA8" s="315"/>
      <c r="AB8" s="316"/>
      <c r="AC8" s="315"/>
      <c r="AD8" s="316"/>
      <c r="AE8" s="315"/>
      <c r="AF8" s="316"/>
      <c r="AG8" s="315"/>
      <c r="AH8" s="316"/>
      <c r="AI8" s="315"/>
      <c r="AJ8" s="316"/>
      <c r="AK8" s="315"/>
      <c r="AL8" s="316"/>
      <c r="AM8" s="315"/>
      <c r="AN8" s="316"/>
      <c r="AO8" s="315"/>
      <c r="AP8" s="316"/>
      <c r="AQ8" s="315"/>
      <c r="AR8" s="316"/>
      <c r="AS8" s="315"/>
      <c r="AT8" s="316"/>
      <c r="AU8" s="315"/>
      <c r="AV8" s="10"/>
      <c r="AW8" s="236"/>
    </row>
    <row r="9" spans="1:49" s="6" customFormat="1" ht="30" customHeight="1">
      <c r="A9" s="341"/>
      <c r="B9" s="323"/>
      <c r="C9" s="158" t="s">
        <v>127</v>
      </c>
      <c r="D9" s="316"/>
      <c r="E9" s="315"/>
      <c r="F9" s="316"/>
      <c r="G9" s="315"/>
      <c r="H9" s="316"/>
      <c r="I9" s="315"/>
      <c r="J9" s="316"/>
      <c r="K9" s="315"/>
      <c r="L9" s="316"/>
      <c r="M9" s="315"/>
      <c r="N9" s="316"/>
      <c r="O9" s="315"/>
      <c r="P9" s="316"/>
      <c r="Q9" s="315"/>
      <c r="R9" s="316"/>
      <c r="S9" s="315"/>
      <c r="T9" s="316"/>
      <c r="U9" s="315"/>
      <c r="V9" s="316" t="s">
        <v>83</v>
      </c>
      <c r="W9" s="315"/>
      <c r="X9" s="316"/>
      <c r="Y9" s="315"/>
      <c r="Z9" s="316"/>
      <c r="AA9" s="315"/>
      <c r="AB9" s="316"/>
      <c r="AC9" s="315"/>
      <c r="AD9" s="316"/>
      <c r="AE9" s="315"/>
      <c r="AF9" s="316"/>
      <c r="AG9" s="315"/>
      <c r="AH9" s="316"/>
      <c r="AI9" s="315"/>
      <c r="AJ9" s="316"/>
      <c r="AK9" s="315"/>
      <c r="AL9" s="316"/>
      <c r="AM9" s="315"/>
      <c r="AN9" s="316"/>
      <c r="AO9" s="315"/>
      <c r="AP9" s="316"/>
      <c r="AQ9" s="315"/>
      <c r="AR9" s="316"/>
      <c r="AS9" s="315"/>
      <c r="AT9" s="316"/>
      <c r="AU9" s="315"/>
      <c r="AV9" s="10"/>
      <c r="AW9" s="236"/>
    </row>
    <row r="10" spans="1:49" s="6" customFormat="1" ht="30" customHeight="1">
      <c r="A10" s="341"/>
      <c r="B10" s="323"/>
      <c r="C10" s="171" t="s">
        <v>128</v>
      </c>
      <c r="D10" s="319"/>
      <c r="E10" s="315"/>
      <c r="F10" s="319"/>
      <c r="G10" s="315"/>
      <c r="H10" s="319"/>
      <c r="I10" s="315"/>
      <c r="J10" s="319"/>
      <c r="K10" s="315"/>
      <c r="L10" s="319"/>
      <c r="M10" s="315"/>
      <c r="N10" s="319"/>
      <c r="O10" s="315"/>
      <c r="P10" s="319"/>
      <c r="Q10" s="315"/>
      <c r="R10" s="319"/>
      <c r="S10" s="315"/>
      <c r="T10" s="319"/>
      <c r="U10" s="315"/>
      <c r="V10" s="319"/>
      <c r="W10" s="315"/>
      <c r="X10" s="319"/>
      <c r="Y10" s="315"/>
      <c r="Z10" s="319"/>
      <c r="AA10" s="315"/>
      <c r="AB10" s="319"/>
      <c r="AC10" s="315"/>
      <c r="AD10" s="319"/>
      <c r="AE10" s="315"/>
      <c r="AF10" s="319"/>
      <c r="AG10" s="315"/>
      <c r="AH10" s="319"/>
      <c r="AI10" s="315"/>
      <c r="AJ10" s="319"/>
      <c r="AK10" s="315"/>
      <c r="AL10" s="319"/>
      <c r="AM10" s="315"/>
      <c r="AN10" s="8" t="s">
        <v>89</v>
      </c>
      <c r="AO10" s="8"/>
      <c r="AP10" s="8"/>
      <c r="AQ10" s="8"/>
      <c r="AR10" s="8"/>
      <c r="AS10" s="8"/>
      <c r="AT10" s="8"/>
      <c r="AU10" s="162"/>
      <c r="AV10" s="172"/>
      <c r="AW10" s="236"/>
    </row>
    <row r="11" spans="1:49" s="6" customFormat="1" ht="30" customHeight="1">
      <c r="A11" s="341"/>
      <c r="B11" s="323"/>
      <c r="C11" s="158" t="s">
        <v>129</v>
      </c>
      <c r="D11" s="316"/>
      <c r="E11" s="315"/>
      <c r="F11" s="316"/>
      <c r="G11" s="315"/>
      <c r="H11" s="316"/>
      <c r="I11" s="315"/>
      <c r="J11" s="316"/>
      <c r="K11" s="315"/>
      <c r="L11" s="316"/>
      <c r="M11" s="315"/>
      <c r="N11" s="316"/>
      <c r="O11" s="315"/>
      <c r="P11" s="316"/>
      <c r="Q11" s="315"/>
      <c r="R11" s="316"/>
      <c r="S11" s="315"/>
      <c r="T11" s="316"/>
      <c r="U11" s="315"/>
      <c r="V11" s="316" t="s">
        <v>83</v>
      </c>
      <c r="W11" s="315"/>
      <c r="X11" s="316"/>
      <c r="Y11" s="315"/>
      <c r="Z11" s="316"/>
      <c r="AA11" s="315"/>
      <c r="AB11" s="316"/>
      <c r="AC11" s="315"/>
      <c r="AD11" s="316"/>
      <c r="AE11" s="315"/>
      <c r="AF11" s="316"/>
      <c r="AG11" s="315"/>
      <c r="AH11" s="316"/>
      <c r="AI11" s="315"/>
      <c r="AJ11" s="316"/>
      <c r="AK11" s="315"/>
      <c r="AL11" s="316"/>
      <c r="AM11" s="315"/>
      <c r="AN11" s="333"/>
      <c r="AO11" s="315"/>
      <c r="AP11" s="333"/>
      <c r="AQ11" s="315"/>
      <c r="AR11" s="333"/>
      <c r="AS11" s="315"/>
      <c r="AT11" s="353"/>
      <c r="AU11" s="332"/>
      <c r="AV11" s="172"/>
      <c r="AW11" s="236"/>
    </row>
    <row r="12" spans="1:49" s="6" customFormat="1" ht="30" customHeight="1">
      <c r="A12" s="341"/>
      <c r="B12" s="323"/>
      <c r="C12" s="158" t="s">
        <v>130</v>
      </c>
      <c r="D12" s="316"/>
      <c r="E12" s="315"/>
      <c r="F12" s="316"/>
      <c r="G12" s="315"/>
      <c r="H12" s="316"/>
      <c r="I12" s="315"/>
      <c r="J12" s="316"/>
      <c r="K12" s="315"/>
      <c r="L12" s="316"/>
      <c r="M12" s="315"/>
      <c r="N12" s="316"/>
      <c r="O12" s="315"/>
      <c r="P12" s="316"/>
      <c r="Q12" s="315"/>
      <c r="R12" s="316"/>
      <c r="S12" s="315"/>
      <c r="T12" s="316"/>
      <c r="U12" s="315"/>
      <c r="V12" s="316" t="s">
        <v>83</v>
      </c>
      <c r="W12" s="315"/>
      <c r="X12" s="316"/>
      <c r="Y12" s="315"/>
      <c r="Z12" s="316"/>
      <c r="AA12" s="315"/>
      <c r="AB12" s="316"/>
      <c r="AC12" s="315"/>
      <c r="AD12" s="316"/>
      <c r="AE12" s="315"/>
      <c r="AF12" s="316"/>
      <c r="AG12" s="315"/>
      <c r="AH12" s="316"/>
      <c r="AI12" s="315"/>
      <c r="AJ12" s="316"/>
      <c r="AK12" s="315"/>
      <c r="AL12" s="316"/>
      <c r="AM12" s="315"/>
      <c r="AN12" s="333"/>
      <c r="AO12" s="315"/>
      <c r="AP12" s="333"/>
      <c r="AQ12" s="315"/>
      <c r="AR12" s="333"/>
      <c r="AS12" s="315"/>
      <c r="AT12" s="353"/>
      <c r="AU12" s="332"/>
      <c r="AV12" s="172"/>
      <c r="AW12" s="236"/>
    </row>
    <row r="13" spans="1:49" s="6" customFormat="1" ht="30" customHeight="1">
      <c r="A13" s="341"/>
      <c r="B13" s="324"/>
      <c r="C13" s="171" t="s">
        <v>131</v>
      </c>
      <c r="D13" s="319"/>
      <c r="E13" s="315"/>
      <c r="F13" s="319"/>
      <c r="G13" s="315"/>
      <c r="H13" s="319"/>
      <c r="I13" s="315"/>
      <c r="J13" s="319"/>
      <c r="K13" s="315"/>
      <c r="L13" s="319"/>
      <c r="M13" s="315"/>
      <c r="N13" s="319"/>
      <c r="O13" s="315"/>
      <c r="P13" s="319"/>
      <c r="Q13" s="315"/>
      <c r="R13" s="319"/>
      <c r="S13" s="315"/>
      <c r="T13" s="319"/>
      <c r="U13" s="315"/>
      <c r="V13" s="319"/>
      <c r="W13" s="315"/>
      <c r="X13" s="319"/>
      <c r="Y13" s="315"/>
      <c r="Z13" s="319"/>
      <c r="AA13" s="315"/>
      <c r="AB13" s="319"/>
      <c r="AC13" s="315"/>
      <c r="AD13" s="319"/>
      <c r="AE13" s="315"/>
      <c r="AF13" s="319"/>
      <c r="AG13" s="315"/>
      <c r="AH13" s="319"/>
      <c r="AI13" s="315"/>
      <c r="AJ13" s="319"/>
      <c r="AK13" s="315"/>
      <c r="AL13" s="319"/>
      <c r="AM13" s="315"/>
      <c r="AN13" s="8" t="s">
        <v>89</v>
      </c>
      <c r="AO13" s="8"/>
      <c r="AP13" s="8"/>
      <c r="AQ13" s="8"/>
      <c r="AR13" s="8"/>
      <c r="AS13" s="8"/>
      <c r="AT13" s="8"/>
      <c r="AU13" s="162"/>
      <c r="AV13" s="172"/>
      <c r="AW13" s="236"/>
    </row>
    <row r="14" spans="1:49" s="6" customFormat="1" ht="30" customHeight="1">
      <c r="A14" s="341"/>
      <c r="B14" s="333" t="s">
        <v>132</v>
      </c>
      <c r="C14" s="158" t="s">
        <v>133</v>
      </c>
      <c r="D14" s="316"/>
      <c r="E14" s="315"/>
      <c r="F14" s="316"/>
      <c r="G14" s="315"/>
      <c r="H14" s="316"/>
      <c r="I14" s="315"/>
      <c r="J14" s="316"/>
      <c r="K14" s="315"/>
      <c r="L14" s="316"/>
      <c r="M14" s="315"/>
      <c r="N14" s="316"/>
      <c r="O14" s="315"/>
      <c r="P14" s="316"/>
      <c r="Q14" s="315"/>
      <c r="R14" s="316"/>
      <c r="S14" s="315"/>
      <c r="T14" s="316"/>
      <c r="U14" s="315"/>
      <c r="V14" s="316"/>
      <c r="W14" s="315"/>
      <c r="X14" s="316" t="s">
        <v>83</v>
      </c>
      <c r="Y14" s="315"/>
      <c r="Z14" s="316"/>
      <c r="AA14" s="315"/>
      <c r="AB14" s="316"/>
      <c r="AC14" s="315"/>
      <c r="AD14" s="316"/>
      <c r="AE14" s="315"/>
      <c r="AF14" s="316"/>
      <c r="AG14" s="315"/>
      <c r="AH14" s="316"/>
      <c r="AI14" s="315"/>
      <c r="AJ14" s="316"/>
      <c r="AK14" s="315"/>
      <c r="AL14" s="316"/>
      <c r="AM14" s="315"/>
      <c r="AN14" s="316"/>
      <c r="AO14" s="315"/>
      <c r="AP14" s="316"/>
      <c r="AQ14" s="315"/>
      <c r="AR14" s="316"/>
      <c r="AS14" s="315"/>
      <c r="AT14" s="316"/>
      <c r="AU14" s="315"/>
      <c r="AV14" s="172"/>
      <c r="AW14" s="236"/>
    </row>
    <row r="15" spans="1:49" s="6" customFormat="1" ht="30" customHeight="1">
      <c r="A15" s="341"/>
      <c r="B15" s="323"/>
      <c r="C15" s="171" t="s">
        <v>134</v>
      </c>
      <c r="D15" s="319"/>
      <c r="E15" s="315"/>
      <c r="F15" s="319"/>
      <c r="G15" s="315"/>
      <c r="H15" s="319"/>
      <c r="I15" s="315"/>
      <c r="J15" s="319"/>
      <c r="K15" s="315"/>
      <c r="L15" s="319"/>
      <c r="M15" s="315"/>
      <c r="N15" s="319"/>
      <c r="O15" s="315"/>
      <c r="P15" s="319"/>
      <c r="Q15" s="315"/>
      <c r="R15" s="319"/>
      <c r="S15" s="315"/>
      <c r="T15" s="319"/>
      <c r="U15" s="315"/>
      <c r="V15" s="319"/>
      <c r="W15" s="315"/>
      <c r="X15" s="319"/>
      <c r="Y15" s="315"/>
      <c r="Z15" s="319"/>
      <c r="AA15" s="315"/>
      <c r="AB15" s="319"/>
      <c r="AC15" s="315"/>
      <c r="AD15" s="319"/>
      <c r="AE15" s="315"/>
      <c r="AF15" s="319"/>
      <c r="AG15" s="315"/>
      <c r="AH15" s="319"/>
      <c r="AI15" s="315"/>
      <c r="AJ15" s="319"/>
      <c r="AK15" s="315"/>
      <c r="AL15" s="319"/>
      <c r="AM15" s="315"/>
      <c r="AN15" s="8" t="s">
        <v>89</v>
      </c>
      <c r="AO15" s="8"/>
      <c r="AP15" s="8"/>
      <c r="AQ15" s="8"/>
      <c r="AR15" s="8"/>
      <c r="AS15" s="8"/>
      <c r="AT15" s="8"/>
      <c r="AU15" s="162"/>
      <c r="AV15" s="172"/>
      <c r="AW15" s="236"/>
    </row>
    <row r="16" spans="1:49" s="6" customFormat="1" ht="30" customHeight="1">
      <c r="A16" s="341"/>
      <c r="B16" s="323"/>
      <c r="C16" s="158" t="s">
        <v>135</v>
      </c>
      <c r="D16" s="316"/>
      <c r="E16" s="315"/>
      <c r="F16" s="316"/>
      <c r="G16" s="315"/>
      <c r="H16" s="316"/>
      <c r="I16" s="315"/>
      <c r="J16" s="316"/>
      <c r="K16" s="315"/>
      <c r="L16" s="316"/>
      <c r="M16" s="315"/>
      <c r="N16" s="316"/>
      <c r="O16" s="315"/>
      <c r="P16" s="316"/>
      <c r="Q16" s="315"/>
      <c r="R16" s="316"/>
      <c r="S16" s="315"/>
      <c r="T16" s="316"/>
      <c r="U16" s="315"/>
      <c r="V16" s="316"/>
      <c r="W16" s="315"/>
      <c r="X16" s="316"/>
      <c r="Y16" s="315"/>
      <c r="Z16" s="316" t="s">
        <v>83</v>
      </c>
      <c r="AA16" s="315"/>
      <c r="AB16" s="316"/>
      <c r="AC16" s="315"/>
      <c r="AD16" s="316"/>
      <c r="AE16" s="315"/>
      <c r="AF16" s="316"/>
      <c r="AG16" s="315"/>
      <c r="AH16" s="316"/>
      <c r="AI16" s="315"/>
      <c r="AJ16" s="316"/>
      <c r="AK16" s="315"/>
      <c r="AL16" s="316"/>
      <c r="AM16" s="315"/>
      <c r="AN16" s="316"/>
      <c r="AO16" s="315"/>
      <c r="AP16" s="316"/>
      <c r="AQ16" s="315"/>
      <c r="AR16" s="316"/>
      <c r="AS16" s="315"/>
      <c r="AT16" s="316"/>
      <c r="AU16" s="315"/>
      <c r="AV16" s="228"/>
      <c r="AW16" s="234"/>
    </row>
    <row r="17" spans="1:49" s="6" customFormat="1" ht="30" customHeight="1">
      <c r="A17" s="341"/>
      <c r="B17" s="323"/>
      <c r="C17" s="158" t="s">
        <v>136</v>
      </c>
      <c r="D17" s="316"/>
      <c r="E17" s="315"/>
      <c r="F17" s="316"/>
      <c r="G17" s="315"/>
      <c r="H17" s="316"/>
      <c r="I17" s="315"/>
      <c r="J17" s="316"/>
      <c r="K17" s="315"/>
      <c r="L17" s="316"/>
      <c r="M17" s="315"/>
      <c r="N17" s="316"/>
      <c r="O17" s="315"/>
      <c r="P17" s="316"/>
      <c r="Q17" s="315"/>
      <c r="R17" s="316"/>
      <c r="S17" s="315"/>
      <c r="T17" s="316"/>
      <c r="U17" s="315"/>
      <c r="V17" s="316"/>
      <c r="W17" s="315"/>
      <c r="X17" s="316"/>
      <c r="Y17" s="315"/>
      <c r="Z17" s="316" t="s">
        <v>83</v>
      </c>
      <c r="AA17" s="315"/>
      <c r="AB17" s="316"/>
      <c r="AC17" s="315"/>
      <c r="AD17" s="316"/>
      <c r="AE17" s="315"/>
      <c r="AF17" s="316"/>
      <c r="AG17" s="315"/>
      <c r="AH17" s="316"/>
      <c r="AI17" s="315"/>
      <c r="AJ17" s="316"/>
      <c r="AK17" s="315"/>
      <c r="AL17" s="316"/>
      <c r="AM17" s="315"/>
      <c r="AN17" s="316"/>
      <c r="AO17" s="315"/>
      <c r="AP17" s="316"/>
      <c r="AQ17" s="315"/>
      <c r="AR17" s="316"/>
      <c r="AS17" s="315"/>
      <c r="AT17" s="316"/>
      <c r="AU17" s="315"/>
      <c r="AV17" s="155"/>
      <c r="AW17" s="234"/>
    </row>
    <row r="18" spans="1:49" s="6" customFormat="1" ht="30" customHeight="1">
      <c r="A18" s="341"/>
      <c r="B18" s="323"/>
      <c r="C18" s="158" t="s">
        <v>137</v>
      </c>
      <c r="D18" s="316"/>
      <c r="E18" s="315"/>
      <c r="F18" s="316"/>
      <c r="G18" s="315"/>
      <c r="H18" s="316"/>
      <c r="I18" s="315"/>
      <c r="J18" s="316"/>
      <c r="K18" s="315"/>
      <c r="L18" s="316"/>
      <c r="M18" s="315"/>
      <c r="N18" s="316"/>
      <c r="O18" s="315"/>
      <c r="P18" s="316"/>
      <c r="Q18" s="315"/>
      <c r="R18" s="316"/>
      <c r="S18" s="315"/>
      <c r="T18" s="316"/>
      <c r="U18" s="315"/>
      <c r="V18" s="316"/>
      <c r="W18" s="315"/>
      <c r="X18" s="316"/>
      <c r="Y18" s="315"/>
      <c r="Z18" s="316" t="s">
        <v>83</v>
      </c>
      <c r="AA18" s="315"/>
      <c r="AB18" s="316"/>
      <c r="AC18" s="315"/>
      <c r="AD18" s="316"/>
      <c r="AE18" s="315"/>
      <c r="AF18" s="316"/>
      <c r="AG18" s="315"/>
      <c r="AH18" s="316"/>
      <c r="AI18" s="315"/>
      <c r="AJ18" s="316"/>
      <c r="AK18" s="315"/>
      <c r="AL18" s="316"/>
      <c r="AM18" s="315"/>
      <c r="AN18" s="316"/>
      <c r="AO18" s="315"/>
      <c r="AP18" s="316"/>
      <c r="AQ18" s="315"/>
      <c r="AR18" s="316"/>
      <c r="AS18" s="315"/>
      <c r="AT18" s="316"/>
      <c r="AU18" s="315"/>
      <c r="AV18" s="155"/>
      <c r="AW18" s="234"/>
    </row>
    <row r="19" spans="1:49" s="6" customFormat="1" ht="30" customHeight="1">
      <c r="A19" s="341"/>
      <c r="B19" s="323"/>
      <c r="C19" s="171" t="s">
        <v>138</v>
      </c>
      <c r="D19" s="319"/>
      <c r="E19" s="315"/>
      <c r="F19" s="319"/>
      <c r="G19" s="315"/>
      <c r="H19" s="319"/>
      <c r="I19" s="315"/>
      <c r="J19" s="319"/>
      <c r="K19" s="315"/>
      <c r="L19" s="319"/>
      <c r="M19" s="315"/>
      <c r="N19" s="319"/>
      <c r="O19" s="315"/>
      <c r="P19" s="319"/>
      <c r="Q19" s="315"/>
      <c r="R19" s="319"/>
      <c r="S19" s="315"/>
      <c r="T19" s="319"/>
      <c r="U19" s="315"/>
      <c r="V19" s="319"/>
      <c r="W19" s="315"/>
      <c r="X19" s="319"/>
      <c r="Y19" s="315"/>
      <c r="Z19" s="319"/>
      <c r="AA19" s="315"/>
      <c r="AB19" s="319"/>
      <c r="AC19" s="315"/>
      <c r="AD19" s="319"/>
      <c r="AE19" s="315"/>
      <c r="AF19" s="319"/>
      <c r="AG19" s="315"/>
      <c r="AH19" s="319"/>
      <c r="AI19" s="315"/>
      <c r="AJ19" s="319"/>
      <c r="AK19" s="315"/>
      <c r="AL19" s="319"/>
      <c r="AM19" s="315"/>
      <c r="AN19" s="319"/>
      <c r="AO19" s="315"/>
      <c r="AP19" s="319"/>
      <c r="AQ19" s="315"/>
      <c r="AR19" s="319"/>
      <c r="AS19" s="315"/>
      <c r="AT19" s="319"/>
      <c r="AU19" s="315"/>
      <c r="AV19" s="10"/>
      <c r="AW19" s="236"/>
    </row>
    <row r="20" spans="1:49" s="6" customFormat="1" ht="30" customHeight="1">
      <c r="A20" s="341"/>
      <c r="B20" s="323"/>
      <c r="C20" s="171" t="s">
        <v>139</v>
      </c>
      <c r="D20" s="319"/>
      <c r="E20" s="315"/>
      <c r="F20" s="319"/>
      <c r="G20" s="315"/>
      <c r="H20" s="319"/>
      <c r="I20" s="315"/>
      <c r="J20" s="319"/>
      <c r="K20" s="315"/>
      <c r="L20" s="319"/>
      <c r="M20" s="315"/>
      <c r="N20" s="319"/>
      <c r="O20" s="315"/>
      <c r="P20" s="319"/>
      <c r="Q20" s="315"/>
      <c r="R20" s="319"/>
      <c r="S20" s="315"/>
      <c r="T20" s="319"/>
      <c r="U20" s="315"/>
      <c r="V20" s="319"/>
      <c r="W20" s="315"/>
      <c r="X20" s="319"/>
      <c r="Y20" s="315"/>
      <c r="Z20" s="319"/>
      <c r="AA20" s="315"/>
      <c r="AB20" s="319"/>
      <c r="AC20" s="315"/>
      <c r="AD20" s="319"/>
      <c r="AE20" s="315"/>
      <c r="AF20" s="319"/>
      <c r="AG20" s="315"/>
      <c r="AH20" s="319"/>
      <c r="AI20" s="315"/>
      <c r="AJ20" s="319"/>
      <c r="AK20" s="315"/>
      <c r="AL20" s="319"/>
      <c r="AM20" s="315"/>
      <c r="AN20" s="8" t="s">
        <v>89</v>
      </c>
      <c r="AO20" s="8"/>
      <c r="AP20" s="8"/>
      <c r="AQ20" s="8"/>
      <c r="AR20" s="8"/>
      <c r="AS20" s="8"/>
      <c r="AT20" s="8"/>
      <c r="AU20" s="162"/>
      <c r="AV20" s="172"/>
      <c r="AW20" s="236"/>
    </row>
    <row r="21" spans="1:49" s="6" customFormat="1" ht="30" customHeight="1">
      <c r="A21" s="341"/>
      <c r="B21" s="323"/>
      <c r="C21" s="158" t="s">
        <v>140</v>
      </c>
      <c r="D21" s="316"/>
      <c r="E21" s="315"/>
      <c r="F21" s="316"/>
      <c r="G21" s="315"/>
      <c r="H21" s="316"/>
      <c r="I21" s="315"/>
      <c r="J21" s="316"/>
      <c r="K21" s="315"/>
      <c r="L21" s="316"/>
      <c r="M21" s="315"/>
      <c r="N21" s="316"/>
      <c r="O21" s="315"/>
      <c r="P21" s="316"/>
      <c r="Q21" s="315"/>
      <c r="R21" s="316"/>
      <c r="S21" s="315"/>
      <c r="T21" s="316"/>
      <c r="U21" s="315"/>
      <c r="V21" s="316"/>
      <c r="W21" s="315"/>
      <c r="X21" s="316"/>
      <c r="Y21" s="315"/>
      <c r="Z21" s="316" t="s">
        <v>83</v>
      </c>
      <c r="AA21" s="315"/>
      <c r="AB21" s="316"/>
      <c r="AC21" s="315"/>
      <c r="AD21" s="316"/>
      <c r="AE21" s="315"/>
      <c r="AF21" s="316"/>
      <c r="AG21" s="315"/>
      <c r="AH21" s="316"/>
      <c r="AI21" s="315"/>
      <c r="AJ21" s="316"/>
      <c r="AK21" s="315"/>
      <c r="AL21" s="316"/>
      <c r="AM21" s="315"/>
      <c r="AN21" s="316"/>
      <c r="AO21" s="315"/>
      <c r="AP21" s="316"/>
      <c r="AQ21" s="315"/>
      <c r="AR21" s="316"/>
      <c r="AS21" s="315"/>
      <c r="AT21" s="316"/>
      <c r="AU21" s="315"/>
      <c r="AV21" s="155"/>
      <c r="AW21" s="234"/>
    </row>
    <row r="22" spans="1:49" s="6" customFormat="1" ht="30" customHeight="1">
      <c r="A22" s="341"/>
      <c r="B22" s="323"/>
      <c r="C22" s="158" t="s">
        <v>141</v>
      </c>
      <c r="D22" s="316"/>
      <c r="E22" s="315"/>
      <c r="F22" s="316"/>
      <c r="G22" s="315"/>
      <c r="H22" s="316"/>
      <c r="I22" s="315"/>
      <c r="J22" s="316"/>
      <c r="K22" s="315"/>
      <c r="L22" s="316"/>
      <c r="M22" s="315"/>
      <c r="N22" s="316"/>
      <c r="O22" s="315"/>
      <c r="P22" s="316"/>
      <c r="Q22" s="315"/>
      <c r="R22" s="316"/>
      <c r="S22" s="315"/>
      <c r="T22" s="316"/>
      <c r="U22" s="315"/>
      <c r="V22" s="316"/>
      <c r="W22" s="315"/>
      <c r="X22" s="316"/>
      <c r="Y22" s="315"/>
      <c r="Z22" s="316" t="s">
        <v>83</v>
      </c>
      <c r="AA22" s="315"/>
      <c r="AB22" s="316"/>
      <c r="AC22" s="315"/>
      <c r="AD22" s="316"/>
      <c r="AE22" s="315"/>
      <c r="AF22" s="316"/>
      <c r="AG22" s="315"/>
      <c r="AH22" s="316"/>
      <c r="AI22" s="315"/>
      <c r="AJ22" s="316"/>
      <c r="AK22" s="315"/>
      <c r="AL22" s="316"/>
      <c r="AM22" s="315"/>
      <c r="AN22" s="316"/>
      <c r="AO22" s="315"/>
      <c r="AP22" s="316"/>
      <c r="AQ22" s="315"/>
      <c r="AR22" s="316"/>
      <c r="AS22" s="315"/>
      <c r="AT22" s="316"/>
      <c r="AU22" s="315"/>
      <c r="AV22" s="10"/>
      <c r="AW22" s="236"/>
    </row>
    <row r="23" spans="1:49" s="6" customFormat="1" ht="30" customHeight="1">
      <c r="A23" s="341"/>
      <c r="B23" s="323"/>
      <c r="C23" s="171" t="s">
        <v>142</v>
      </c>
      <c r="D23" s="319"/>
      <c r="E23" s="315"/>
      <c r="F23" s="319"/>
      <c r="G23" s="315"/>
      <c r="H23" s="319"/>
      <c r="I23" s="315"/>
      <c r="J23" s="319"/>
      <c r="K23" s="315"/>
      <c r="L23" s="319"/>
      <c r="M23" s="315"/>
      <c r="N23" s="319"/>
      <c r="O23" s="315"/>
      <c r="P23" s="319"/>
      <c r="Q23" s="315"/>
      <c r="R23" s="319"/>
      <c r="S23" s="315"/>
      <c r="T23" s="319"/>
      <c r="U23" s="315"/>
      <c r="V23" s="319"/>
      <c r="W23" s="315"/>
      <c r="X23" s="319"/>
      <c r="Y23" s="315"/>
      <c r="Z23" s="319"/>
      <c r="AA23" s="315"/>
      <c r="AB23" s="319"/>
      <c r="AC23" s="315"/>
      <c r="AD23" s="319"/>
      <c r="AE23" s="315"/>
      <c r="AF23" s="319"/>
      <c r="AG23" s="315"/>
      <c r="AH23" s="319"/>
      <c r="AI23" s="315"/>
      <c r="AJ23" s="319"/>
      <c r="AK23" s="315"/>
      <c r="AL23" s="319"/>
      <c r="AM23" s="315"/>
      <c r="AN23" s="319"/>
      <c r="AO23" s="315"/>
      <c r="AP23" s="319"/>
      <c r="AQ23" s="315"/>
      <c r="AR23" s="319"/>
      <c r="AS23" s="315"/>
      <c r="AT23" s="319"/>
      <c r="AU23" s="315"/>
      <c r="AV23" s="155"/>
      <c r="AW23" s="234"/>
    </row>
    <row r="24" spans="1:49" s="6" customFormat="1" ht="30" customHeight="1">
      <c r="A24" s="341"/>
      <c r="B24" s="323"/>
      <c r="C24" s="158" t="s">
        <v>143</v>
      </c>
      <c r="D24" s="316"/>
      <c r="E24" s="315"/>
      <c r="F24" s="316"/>
      <c r="G24" s="315"/>
      <c r="H24" s="316"/>
      <c r="I24" s="315"/>
      <c r="J24" s="316"/>
      <c r="K24" s="315"/>
      <c r="L24" s="316"/>
      <c r="M24" s="315"/>
      <c r="N24" s="316"/>
      <c r="O24" s="315"/>
      <c r="P24" s="316"/>
      <c r="Q24" s="315"/>
      <c r="R24" s="316"/>
      <c r="S24" s="315"/>
      <c r="T24" s="316"/>
      <c r="U24" s="315"/>
      <c r="V24" s="316"/>
      <c r="W24" s="315"/>
      <c r="X24" s="316"/>
      <c r="Y24" s="315"/>
      <c r="Z24" s="316" t="s">
        <v>83</v>
      </c>
      <c r="AA24" s="315"/>
      <c r="AB24" s="316"/>
      <c r="AC24" s="315"/>
      <c r="AD24" s="316"/>
      <c r="AE24" s="315"/>
      <c r="AF24" s="316"/>
      <c r="AG24" s="315"/>
      <c r="AH24" s="316"/>
      <c r="AI24" s="315"/>
      <c r="AJ24" s="316"/>
      <c r="AK24" s="315"/>
      <c r="AL24" s="316"/>
      <c r="AM24" s="315"/>
      <c r="AN24" s="316"/>
      <c r="AO24" s="315"/>
      <c r="AP24" s="316"/>
      <c r="AQ24" s="315"/>
      <c r="AR24" s="316"/>
      <c r="AS24" s="315"/>
      <c r="AT24" s="316"/>
      <c r="AU24" s="315"/>
      <c r="AV24" s="10"/>
      <c r="AW24" s="236"/>
    </row>
    <row r="25" spans="1:49" s="6" customFormat="1" ht="30" customHeight="1">
      <c r="A25" s="341"/>
      <c r="B25" s="323"/>
      <c r="C25" s="171" t="s">
        <v>144</v>
      </c>
      <c r="D25" s="319"/>
      <c r="E25" s="315"/>
      <c r="F25" s="319"/>
      <c r="G25" s="315"/>
      <c r="H25" s="319"/>
      <c r="I25" s="315"/>
      <c r="J25" s="319"/>
      <c r="K25" s="315"/>
      <c r="L25" s="319"/>
      <c r="M25" s="315"/>
      <c r="N25" s="319"/>
      <c r="O25" s="315"/>
      <c r="P25" s="319"/>
      <c r="Q25" s="315"/>
      <c r="R25" s="319"/>
      <c r="S25" s="315"/>
      <c r="T25" s="319"/>
      <c r="U25" s="315"/>
      <c r="V25" s="319"/>
      <c r="W25" s="315"/>
      <c r="X25" s="319"/>
      <c r="Y25" s="315"/>
      <c r="Z25" s="319"/>
      <c r="AA25" s="315"/>
      <c r="AB25" s="319"/>
      <c r="AC25" s="315"/>
      <c r="AD25" s="319"/>
      <c r="AE25" s="315"/>
      <c r="AF25" s="319"/>
      <c r="AG25" s="315"/>
      <c r="AH25" s="319"/>
      <c r="AI25" s="315"/>
      <c r="AJ25" s="319"/>
      <c r="AK25" s="315"/>
      <c r="AL25" s="319"/>
      <c r="AM25" s="315"/>
      <c r="AN25" s="330"/>
      <c r="AO25" s="315"/>
      <c r="AP25" s="330"/>
      <c r="AQ25" s="315"/>
      <c r="AR25" s="330"/>
      <c r="AS25" s="315"/>
      <c r="AT25" s="331"/>
      <c r="AU25" s="332"/>
      <c r="AV25" s="10"/>
      <c r="AW25" s="236"/>
    </row>
    <row r="26" spans="1:49" s="6" customFormat="1" ht="30" customHeight="1">
      <c r="A26" s="342"/>
      <c r="B26" s="324"/>
      <c r="C26" s="171" t="s">
        <v>145</v>
      </c>
      <c r="D26" s="319"/>
      <c r="E26" s="315"/>
      <c r="F26" s="319"/>
      <c r="G26" s="315"/>
      <c r="H26" s="319"/>
      <c r="I26" s="315"/>
      <c r="J26" s="319"/>
      <c r="K26" s="315"/>
      <c r="L26" s="319"/>
      <c r="M26" s="315"/>
      <c r="N26" s="319"/>
      <c r="O26" s="315"/>
      <c r="P26" s="319"/>
      <c r="Q26" s="315"/>
      <c r="R26" s="319"/>
      <c r="S26" s="315"/>
      <c r="T26" s="319"/>
      <c r="U26" s="315"/>
      <c r="V26" s="319"/>
      <c r="W26" s="315"/>
      <c r="X26" s="319"/>
      <c r="Y26" s="315"/>
      <c r="Z26" s="319"/>
      <c r="AA26" s="315"/>
      <c r="AB26" s="319"/>
      <c r="AC26" s="315"/>
      <c r="AD26" s="319"/>
      <c r="AE26" s="315"/>
      <c r="AF26" s="319"/>
      <c r="AG26" s="315"/>
      <c r="AH26" s="319"/>
      <c r="AI26" s="315"/>
      <c r="AJ26" s="319"/>
      <c r="AK26" s="315"/>
      <c r="AL26" s="319"/>
      <c r="AM26" s="315"/>
      <c r="AN26" s="330"/>
      <c r="AO26" s="315"/>
      <c r="AP26" s="330"/>
      <c r="AQ26" s="315"/>
      <c r="AR26" s="330"/>
      <c r="AS26" s="315"/>
      <c r="AT26" s="331"/>
      <c r="AU26" s="332"/>
      <c r="AV26" s="10"/>
      <c r="AW26" s="236"/>
    </row>
    <row r="27" spans="1:49" s="6" customFormat="1" ht="30" customHeight="1">
      <c r="A27" s="344" t="s">
        <v>96</v>
      </c>
      <c r="B27" s="357"/>
      <c r="C27" s="158" t="s">
        <v>146</v>
      </c>
      <c r="D27" s="316"/>
      <c r="E27" s="315"/>
      <c r="F27" s="316"/>
      <c r="G27" s="315"/>
      <c r="H27" s="316"/>
      <c r="I27" s="315"/>
      <c r="J27" s="316"/>
      <c r="K27" s="315"/>
      <c r="L27" s="316"/>
      <c r="M27" s="315"/>
      <c r="N27" s="316"/>
      <c r="O27" s="315"/>
      <c r="P27" s="316"/>
      <c r="Q27" s="315"/>
      <c r="R27" s="316"/>
      <c r="S27" s="315"/>
      <c r="T27" s="316"/>
      <c r="U27" s="315"/>
      <c r="V27" s="316"/>
      <c r="W27" s="315"/>
      <c r="X27" s="316"/>
      <c r="Y27" s="315"/>
      <c r="Z27" s="316"/>
      <c r="AA27" s="315"/>
      <c r="AB27" s="316" t="s">
        <v>83</v>
      </c>
      <c r="AC27" s="315"/>
      <c r="AD27" s="316"/>
      <c r="AE27" s="315"/>
      <c r="AF27" s="316"/>
      <c r="AG27" s="315"/>
      <c r="AH27" s="316"/>
      <c r="AI27" s="315"/>
      <c r="AJ27" s="316"/>
      <c r="AK27" s="315"/>
      <c r="AL27" s="316"/>
      <c r="AM27" s="315"/>
      <c r="AN27" s="316"/>
      <c r="AO27" s="315"/>
      <c r="AP27" s="316"/>
      <c r="AQ27" s="315"/>
      <c r="AR27" s="316"/>
      <c r="AS27" s="315"/>
      <c r="AT27" s="316"/>
      <c r="AU27" s="315"/>
      <c r="AV27" s="10"/>
      <c r="AW27" s="236"/>
    </row>
    <row r="28" spans="1:49" s="6" customFormat="1" ht="30" customHeight="1">
      <c r="A28" s="344" t="s">
        <v>147</v>
      </c>
      <c r="B28" s="345"/>
      <c r="C28" s="158" t="s">
        <v>148</v>
      </c>
      <c r="D28" s="316"/>
      <c r="E28" s="315"/>
      <c r="F28" s="316"/>
      <c r="G28" s="315"/>
      <c r="H28" s="316"/>
      <c r="I28" s="315"/>
      <c r="J28" s="316"/>
      <c r="K28" s="315"/>
      <c r="L28" s="316"/>
      <c r="M28" s="315"/>
      <c r="N28" s="316"/>
      <c r="O28" s="315"/>
      <c r="P28" s="316"/>
      <c r="Q28" s="315"/>
      <c r="R28" s="316"/>
      <c r="S28" s="315"/>
      <c r="T28" s="316"/>
      <c r="U28" s="315"/>
      <c r="V28" s="316"/>
      <c r="W28" s="315"/>
      <c r="X28" s="316"/>
      <c r="Y28" s="315"/>
      <c r="Z28" s="316"/>
      <c r="AA28" s="315"/>
      <c r="AB28" s="316"/>
      <c r="AC28" s="315"/>
      <c r="AD28" s="316" t="s">
        <v>83</v>
      </c>
      <c r="AE28" s="315"/>
      <c r="AF28" s="316"/>
      <c r="AG28" s="315"/>
      <c r="AH28" s="316"/>
      <c r="AI28" s="315"/>
      <c r="AJ28" s="316"/>
      <c r="AK28" s="315"/>
      <c r="AL28" s="316"/>
      <c r="AM28" s="315"/>
      <c r="AN28" s="316"/>
      <c r="AO28" s="315"/>
      <c r="AP28" s="316"/>
      <c r="AQ28" s="315"/>
      <c r="AR28" s="316"/>
      <c r="AS28" s="315"/>
      <c r="AT28" s="316"/>
      <c r="AU28" s="315"/>
      <c r="AV28" s="155"/>
      <c r="AW28" s="234"/>
    </row>
    <row r="29" spans="1:49" s="6" customFormat="1" ht="30" customHeight="1">
      <c r="A29" s="346"/>
      <c r="B29" s="347"/>
      <c r="C29" s="158" t="s">
        <v>149</v>
      </c>
      <c r="D29" s="316"/>
      <c r="E29" s="315"/>
      <c r="F29" s="316"/>
      <c r="G29" s="315"/>
      <c r="H29" s="316"/>
      <c r="I29" s="315"/>
      <c r="J29" s="316"/>
      <c r="K29" s="315"/>
      <c r="L29" s="316"/>
      <c r="M29" s="315"/>
      <c r="N29" s="316"/>
      <c r="O29" s="315"/>
      <c r="P29" s="316"/>
      <c r="Q29" s="315"/>
      <c r="R29" s="316"/>
      <c r="S29" s="315"/>
      <c r="T29" s="316"/>
      <c r="U29" s="315"/>
      <c r="V29" s="316"/>
      <c r="W29" s="315"/>
      <c r="X29" s="316"/>
      <c r="Y29" s="315"/>
      <c r="Z29" s="316"/>
      <c r="AA29" s="315"/>
      <c r="AB29" s="316"/>
      <c r="AC29" s="315"/>
      <c r="AD29" s="316" t="s">
        <v>83</v>
      </c>
      <c r="AE29" s="315"/>
      <c r="AF29" s="316"/>
      <c r="AG29" s="315"/>
      <c r="AH29" s="316"/>
      <c r="AI29" s="315"/>
      <c r="AJ29" s="316"/>
      <c r="AK29" s="315"/>
      <c r="AL29" s="316"/>
      <c r="AM29" s="315"/>
      <c r="AN29" s="316"/>
      <c r="AO29" s="315"/>
      <c r="AP29" s="316"/>
      <c r="AQ29" s="315"/>
      <c r="AR29" s="316"/>
      <c r="AS29" s="315"/>
      <c r="AT29" s="316"/>
      <c r="AU29" s="315"/>
      <c r="AV29" s="10"/>
      <c r="AW29" s="236"/>
    </row>
    <row r="30" spans="1:49" s="6" customFormat="1" ht="30" customHeight="1">
      <c r="A30" s="346"/>
      <c r="B30" s="347"/>
      <c r="C30" s="158" t="s">
        <v>150</v>
      </c>
      <c r="D30" s="316"/>
      <c r="E30" s="315"/>
      <c r="F30" s="316"/>
      <c r="G30" s="315"/>
      <c r="H30" s="316"/>
      <c r="I30" s="315"/>
      <c r="J30" s="316"/>
      <c r="K30" s="315"/>
      <c r="L30" s="316"/>
      <c r="M30" s="315"/>
      <c r="N30" s="316"/>
      <c r="O30" s="315"/>
      <c r="P30" s="316"/>
      <c r="Q30" s="315"/>
      <c r="R30" s="316"/>
      <c r="S30" s="315"/>
      <c r="T30" s="316"/>
      <c r="U30" s="315"/>
      <c r="V30" s="316"/>
      <c r="W30" s="315"/>
      <c r="X30" s="316"/>
      <c r="Y30" s="315"/>
      <c r="Z30" s="316"/>
      <c r="AA30" s="315"/>
      <c r="AB30" s="316"/>
      <c r="AC30" s="315"/>
      <c r="AD30" s="316" t="s">
        <v>83</v>
      </c>
      <c r="AE30" s="315"/>
      <c r="AF30" s="316"/>
      <c r="AG30" s="315"/>
      <c r="AH30" s="316"/>
      <c r="AI30" s="315"/>
      <c r="AJ30" s="316"/>
      <c r="AK30" s="315"/>
      <c r="AL30" s="316"/>
      <c r="AM30" s="315"/>
      <c r="AN30" s="316"/>
      <c r="AO30" s="315"/>
      <c r="AP30" s="316"/>
      <c r="AQ30" s="315"/>
      <c r="AR30" s="316"/>
      <c r="AS30" s="315"/>
      <c r="AT30" s="316"/>
      <c r="AU30" s="315"/>
      <c r="AV30" s="10"/>
      <c r="AW30" s="236"/>
    </row>
    <row r="31" spans="1:49" s="6" customFormat="1" ht="30" customHeight="1">
      <c r="A31" s="348"/>
      <c r="B31" s="349"/>
      <c r="C31" s="158" t="s">
        <v>151</v>
      </c>
      <c r="D31" s="316"/>
      <c r="E31" s="315"/>
      <c r="F31" s="316"/>
      <c r="G31" s="315"/>
      <c r="H31" s="316"/>
      <c r="I31" s="315"/>
      <c r="J31" s="316"/>
      <c r="K31" s="315"/>
      <c r="L31" s="316"/>
      <c r="M31" s="315"/>
      <c r="N31" s="316"/>
      <c r="O31" s="315"/>
      <c r="P31" s="316"/>
      <c r="Q31" s="315"/>
      <c r="R31" s="316"/>
      <c r="S31" s="315"/>
      <c r="T31" s="316"/>
      <c r="U31" s="315"/>
      <c r="V31" s="316"/>
      <c r="W31" s="315"/>
      <c r="X31" s="316"/>
      <c r="Y31" s="315"/>
      <c r="Z31" s="316"/>
      <c r="AA31" s="315"/>
      <c r="AB31" s="316"/>
      <c r="AC31" s="315"/>
      <c r="AD31" s="316" t="s">
        <v>83</v>
      </c>
      <c r="AE31" s="315"/>
      <c r="AF31" s="316"/>
      <c r="AG31" s="315"/>
      <c r="AH31" s="316"/>
      <c r="AI31" s="315"/>
      <c r="AJ31" s="316"/>
      <c r="AK31" s="315"/>
      <c r="AL31" s="316"/>
      <c r="AM31" s="315"/>
      <c r="AN31" s="333"/>
      <c r="AO31" s="315"/>
      <c r="AP31" s="333"/>
      <c r="AQ31" s="315"/>
      <c r="AR31" s="333"/>
      <c r="AS31" s="315"/>
      <c r="AT31" s="353"/>
      <c r="AU31" s="332"/>
      <c r="AV31" s="163"/>
      <c r="AW31" s="236"/>
    </row>
    <row r="32" spans="1:49" s="6" customFormat="1" ht="30" customHeight="1">
      <c r="A32" s="359" t="s">
        <v>152</v>
      </c>
      <c r="B32" s="354" t="s">
        <v>153</v>
      </c>
      <c r="C32" s="315"/>
      <c r="D32" s="350"/>
      <c r="E32" s="315"/>
      <c r="F32" s="350"/>
      <c r="G32" s="315"/>
      <c r="H32" s="350"/>
      <c r="I32" s="315"/>
      <c r="J32" s="350"/>
      <c r="K32" s="315"/>
      <c r="L32" s="350"/>
      <c r="M32" s="315"/>
      <c r="N32" s="350"/>
      <c r="O32" s="315"/>
      <c r="P32" s="350"/>
      <c r="Q32" s="315"/>
      <c r="R32" s="350"/>
      <c r="S32" s="315"/>
      <c r="T32" s="350" t="s">
        <v>83</v>
      </c>
      <c r="U32" s="315"/>
      <c r="V32" s="350"/>
      <c r="W32" s="315"/>
      <c r="X32" s="350"/>
      <c r="Y32" s="315"/>
      <c r="Z32" s="350"/>
      <c r="AA32" s="315"/>
      <c r="AB32" s="350"/>
      <c r="AC32" s="315"/>
      <c r="AD32" s="350"/>
      <c r="AE32" s="315"/>
      <c r="AF32" s="350"/>
      <c r="AG32" s="315"/>
      <c r="AH32" s="350"/>
      <c r="AI32" s="315"/>
      <c r="AJ32" s="350"/>
      <c r="AK32" s="315"/>
      <c r="AL32" s="350"/>
      <c r="AM32" s="315"/>
      <c r="AN32" s="350"/>
      <c r="AO32" s="315"/>
      <c r="AP32" s="350"/>
      <c r="AQ32" s="315"/>
      <c r="AR32" s="350"/>
      <c r="AS32" s="315"/>
      <c r="AT32" s="350"/>
      <c r="AU32" s="315"/>
      <c r="AV32" s="179"/>
      <c r="AW32" s="234"/>
    </row>
    <row r="33" spans="1:49" s="6" customFormat="1" ht="30" customHeight="1">
      <c r="A33" s="341"/>
      <c r="B33" s="322" t="s">
        <v>154</v>
      </c>
      <c r="C33" s="166" t="s">
        <v>155</v>
      </c>
      <c r="D33" s="314"/>
      <c r="E33" s="315"/>
      <c r="F33" s="314"/>
      <c r="G33" s="315"/>
      <c r="H33" s="314"/>
      <c r="I33" s="315"/>
      <c r="J33" s="314"/>
      <c r="K33" s="315"/>
      <c r="L33" s="314"/>
      <c r="M33" s="315"/>
      <c r="N33" s="314"/>
      <c r="O33" s="315"/>
      <c r="P33" s="314"/>
      <c r="Q33" s="315"/>
      <c r="R33" s="314"/>
      <c r="S33" s="315"/>
      <c r="T33" s="314"/>
      <c r="U33" s="315"/>
      <c r="V33" s="314"/>
      <c r="W33" s="315"/>
      <c r="X33" s="314"/>
      <c r="Y33" s="315"/>
      <c r="Z33" s="314"/>
      <c r="AA33" s="315"/>
      <c r="AB33" s="314"/>
      <c r="AC33" s="315"/>
      <c r="AD33" s="314"/>
      <c r="AE33" s="315"/>
      <c r="AF33" s="314"/>
      <c r="AG33" s="315"/>
      <c r="AH33" s="314"/>
      <c r="AI33" s="315"/>
      <c r="AJ33" s="314"/>
      <c r="AK33" s="315"/>
      <c r="AL33" s="314"/>
      <c r="AM33" s="315"/>
      <c r="AN33" s="16" t="s">
        <v>98</v>
      </c>
      <c r="AO33" s="9"/>
      <c r="AP33" s="16"/>
      <c r="AQ33" s="9"/>
      <c r="AR33" s="16"/>
      <c r="AS33" s="9"/>
      <c r="AT33" s="16"/>
      <c r="AU33" s="189"/>
      <c r="AV33" s="167"/>
      <c r="AW33" s="234"/>
    </row>
    <row r="34" spans="1:49" s="6" customFormat="1" ht="30" customHeight="1">
      <c r="A34" s="341"/>
      <c r="B34" s="323"/>
      <c r="C34" s="160" t="s">
        <v>156</v>
      </c>
      <c r="D34" s="319"/>
      <c r="E34" s="315"/>
      <c r="F34" s="319"/>
      <c r="G34" s="315"/>
      <c r="H34" s="319"/>
      <c r="I34" s="315"/>
      <c r="J34" s="319"/>
      <c r="K34" s="315"/>
      <c r="L34" s="319"/>
      <c r="M34" s="315"/>
      <c r="N34" s="319"/>
      <c r="O34" s="315"/>
      <c r="P34" s="319"/>
      <c r="Q34" s="315"/>
      <c r="R34" s="319"/>
      <c r="S34" s="315"/>
      <c r="T34" s="319"/>
      <c r="U34" s="315"/>
      <c r="V34" s="319"/>
      <c r="W34" s="315"/>
      <c r="X34" s="319"/>
      <c r="Y34" s="315"/>
      <c r="Z34" s="319"/>
      <c r="AA34" s="315"/>
      <c r="AB34" s="319"/>
      <c r="AC34" s="315"/>
      <c r="AD34" s="319"/>
      <c r="AE34" s="315"/>
      <c r="AF34" s="319"/>
      <c r="AG34" s="315"/>
      <c r="AH34" s="319"/>
      <c r="AI34" s="315"/>
      <c r="AJ34" s="319"/>
      <c r="AK34" s="315"/>
      <c r="AL34" s="319"/>
      <c r="AM34" s="315"/>
      <c r="AN34" s="8" t="s">
        <v>89</v>
      </c>
      <c r="AO34" s="8"/>
      <c r="AP34" s="8"/>
      <c r="AQ34" s="8"/>
      <c r="AR34" s="8"/>
      <c r="AS34" s="8"/>
      <c r="AT34" s="8"/>
      <c r="AU34" s="162"/>
      <c r="AV34" s="172"/>
      <c r="AW34" s="234"/>
    </row>
    <row r="35" spans="1:49" s="6" customFormat="1" ht="30" customHeight="1">
      <c r="A35" s="341"/>
      <c r="B35" s="324"/>
      <c r="C35" s="229" t="s">
        <v>157</v>
      </c>
      <c r="D35" s="343"/>
      <c r="E35" s="315"/>
      <c r="F35" s="343"/>
      <c r="G35" s="315"/>
      <c r="H35" s="343"/>
      <c r="I35" s="315"/>
      <c r="J35" s="343"/>
      <c r="K35" s="315"/>
      <c r="L35" s="343"/>
      <c r="M35" s="315"/>
      <c r="N35" s="343"/>
      <c r="O35" s="315"/>
      <c r="P35" s="343"/>
      <c r="Q35" s="315"/>
      <c r="R35" s="343"/>
      <c r="S35" s="315"/>
      <c r="T35" s="343"/>
      <c r="U35" s="315"/>
      <c r="V35" s="343"/>
      <c r="W35" s="315"/>
      <c r="X35" s="343"/>
      <c r="Y35" s="315"/>
      <c r="Z35" s="343"/>
      <c r="AA35" s="315"/>
      <c r="AB35" s="343"/>
      <c r="AC35" s="315"/>
      <c r="AD35" s="343"/>
      <c r="AE35" s="315"/>
      <c r="AF35" s="343"/>
      <c r="AG35" s="315"/>
      <c r="AH35" s="343"/>
      <c r="AI35" s="315"/>
      <c r="AJ35" s="343"/>
      <c r="AK35" s="315"/>
      <c r="AL35" s="343"/>
      <c r="AM35" s="315"/>
      <c r="AN35" s="230" t="s">
        <v>158</v>
      </c>
      <c r="AO35" s="231"/>
      <c r="AP35" s="230"/>
      <c r="AQ35" s="231"/>
      <c r="AR35" s="230"/>
      <c r="AS35" s="231"/>
      <c r="AT35" s="230"/>
      <c r="AU35" s="232"/>
      <c r="AV35" s="233"/>
      <c r="AW35" s="237"/>
    </row>
    <row r="36" spans="1:49" s="6" customFormat="1" ht="30" customHeight="1">
      <c r="A36" s="341"/>
      <c r="B36" s="322" t="s">
        <v>159</v>
      </c>
      <c r="C36" s="166" t="s">
        <v>155</v>
      </c>
      <c r="D36" s="314"/>
      <c r="E36" s="315"/>
      <c r="F36" s="314"/>
      <c r="G36" s="315"/>
      <c r="H36" s="314"/>
      <c r="I36" s="315"/>
      <c r="J36" s="314"/>
      <c r="K36" s="315"/>
      <c r="L36" s="314"/>
      <c r="M36" s="315"/>
      <c r="N36" s="314"/>
      <c r="O36" s="315"/>
      <c r="P36" s="314"/>
      <c r="Q36" s="315"/>
      <c r="R36" s="314"/>
      <c r="S36" s="315"/>
      <c r="T36" s="314"/>
      <c r="U36" s="315"/>
      <c r="V36" s="314"/>
      <c r="W36" s="315"/>
      <c r="X36" s="314"/>
      <c r="Y36" s="315"/>
      <c r="Z36" s="314"/>
      <c r="AA36" s="315"/>
      <c r="AB36" s="314"/>
      <c r="AC36" s="315"/>
      <c r="AD36" s="314"/>
      <c r="AE36" s="315"/>
      <c r="AF36" s="314"/>
      <c r="AG36" s="315"/>
      <c r="AH36" s="314"/>
      <c r="AI36" s="315"/>
      <c r="AJ36" s="314"/>
      <c r="AK36" s="315"/>
      <c r="AL36" s="314"/>
      <c r="AM36" s="315"/>
      <c r="AN36" s="16" t="s">
        <v>98</v>
      </c>
      <c r="AO36" s="7"/>
      <c r="AP36" s="17"/>
      <c r="AQ36" s="7"/>
      <c r="AR36" s="17"/>
      <c r="AS36" s="7"/>
      <c r="AT36" s="17"/>
      <c r="AU36" s="188"/>
      <c r="AV36" s="167"/>
      <c r="AW36" s="234"/>
    </row>
    <row r="37" spans="1:49" s="6" customFormat="1" ht="30" customHeight="1">
      <c r="A37" s="341"/>
      <c r="B37" s="323"/>
      <c r="C37" s="166" t="s">
        <v>160</v>
      </c>
      <c r="D37" s="314"/>
      <c r="E37" s="315"/>
      <c r="F37" s="314"/>
      <c r="G37" s="315"/>
      <c r="H37" s="314"/>
      <c r="I37" s="315"/>
      <c r="J37" s="314"/>
      <c r="K37" s="315"/>
      <c r="L37" s="314"/>
      <c r="M37" s="315"/>
      <c r="N37" s="314"/>
      <c r="O37" s="315"/>
      <c r="P37" s="314"/>
      <c r="Q37" s="315"/>
      <c r="R37" s="314"/>
      <c r="S37" s="315"/>
      <c r="T37" s="314"/>
      <c r="U37" s="315"/>
      <c r="V37" s="314"/>
      <c r="W37" s="315"/>
      <c r="X37" s="314"/>
      <c r="Y37" s="315"/>
      <c r="Z37" s="314"/>
      <c r="AA37" s="315"/>
      <c r="AB37" s="314"/>
      <c r="AC37" s="315"/>
      <c r="AD37" s="314"/>
      <c r="AE37" s="315"/>
      <c r="AF37" s="314"/>
      <c r="AG37" s="315"/>
      <c r="AH37" s="314"/>
      <c r="AI37" s="315"/>
      <c r="AJ37" s="314"/>
      <c r="AK37" s="315"/>
      <c r="AL37" s="314"/>
      <c r="AM37" s="315"/>
      <c r="AN37" s="18" t="s">
        <v>98</v>
      </c>
      <c r="AO37" s="9"/>
      <c r="AP37" s="16"/>
      <c r="AQ37" s="9"/>
      <c r="AR37" s="16"/>
      <c r="AS37" s="9"/>
      <c r="AT37" s="16"/>
      <c r="AU37" s="189"/>
      <c r="AV37" s="167"/>
      <c r="AW37" s="234"/>
    </row>
    <row r="38" spans="1:49" s="6" customFormat="1" ht="30" customHeight="1">
      <c r="A38" s="341"/>
      <c r="B38" s="324"/>
      <c r="C38" s="166" t="s">
        <v>161</v>
      </c>
      <c r="D38" s="314"/>
      <c r="E38" s="315"/>
      <c r="F38" s="314"/>
      <c r="G38" s="315"/>
      <c r="H38" s="314"/>
      <c r="I38" s="315"/>
      <c r="J38" s="314"/>
      <c r="K38" s="315"/>
      <c r="L38" s="314"/>
      <c r="M38" s="315"/>
      <c r="N38" s="314"/>
      <c r="O38" s="315"/>
      <c r="P38" s="314"/>
      <c r="Q38" s="315"/>
      <c r="R38" s="314"/>
      <c r="S38" s="315"/>
      <c r="T38" s="314"/>
      <c r="U38" s="315"/>
      <c r="V38" s="314"/>
      <c r="W38" s="315"/>
      <c r="X38" s="314"/>
      <c r="Y38" s="315"/>
      <c r="Z38" s="314"/>
      <c r="AA38" s="315"/>
      <c r="AB38" s="314"/>
      <c r="AC38" s="315"/>
      <c r="AD38" s="314"/>
      <c r="AE38" s="315"/>
      <c r="AF38" s="314"/>
      <c r="AG38" s="315"/>
      <c r="AH38" s="314"/>
      <c r="AI38" s="315"/>
      <c r="AJ38" s="314"/>
      <c r="AK38" s="315"/>
      <c r="AL38" s="314"/>
      <c r="AM38" s="315"/>
      <c r="AN38" s="16" t="s">
        <v>98</v>
      </c>
      <c r="AO38" s="9"/>
      <c r="AP38" s="16"/>
      <c r="AQ38" s="9"/>
      <c r="AR38" s="16"/>
      <c r="AS38" s="9"/>
      <c r="AT38" s="16"/>
      <c r="AU38" s="189"/>
      <c r="AV38" s="167"/>
      <c r="AW38" s="234"/>
    </row>
    <row r="39" spans="1:49" s="6" customFormat="1" ht="30" customHeight="1">
      <c r="A39" s="341"/>
      <c r="B39" s="322" t="s">
        <v>162</v>
      </c>
      <c r="C39" s="166" t="s">
        <v>163</v>
      </c>
      <c r="D39" s="314"/>
      <c r="E39" s="315"/>
      <c r="F39" s="314"/>
      <c r="G39" s="315"/>
      <c r="H39" s="314"/>
      <c r="I39" s="315"/>
      <c r="J39" s="314"/>
      <c r="K39" s="315"/>
      <c r="L39" s="314"/>
      <c r="M39" s="315"/>
      <c r="N39" s="314"/>
      <c r="O39" s="315"/>
      <c r="P39" s="314"/>
      <c r="Q39" s="315"/>
      <c r="R39" s="314"/>
      <c r="S39" s="315"/>
      <c r="T39" s="314"/>
      <c r="U39" s="315"/>
      <c r="V39" s="314"/>
      <c r="W39" s="315"/>
      <c r="X39" s="314"/>
      <c r="Y39" s="315"/>
      <c r="Z39" s="314"/>
      <c r="AA39" s="315"/>
      <c r="AB39" s="314"/>
      <c r="AC39" s="315"/>
      <c r="AD39" s="314"/>
      <c r="AE39" s="315"/>
      <c r="AF39" s="314"/>
      <c r="AG39" s="315"/>
      <c r="AH39" s="314"/>
      <c r="AI39" s="315"/>
      <c r="AJ39" s="314"/>
      <c r="AK39" s="315"/>
      <c r="AL39" s="314"/>
      <c r="AM39" s="315"/>
      <c r="AN39" s="16" t="s">
        <v>98</v>
      </c>
      <c r="AO39" s="9"/>
      <c r="AP39" s="16"/>
      <c r="AQ39" s="9"/>
      <c r="AR39" s="16"/>
      <c r="AS39" s="9"/>
      <c r="AT39" s="16"/>
      <c r="AU39" s="189"/>
      <c r="AV39" s="167"/>
      <c r="AW39" s="234"/>
    </row>
    <row r="40" spans="1:49" s="6" customFormat="1" ht="30" customHeight="1">
      <c r="A40" s="341"/>
      <c r="B40" s="324"/>
      <c r="C40" s="166" t="s">
        <v>164</v>
      </c>
      <c r="D40" s="314"/>
      <c r="E40" s="315"/>
      <c r="F40" s="314"/>
      <c r="G40" s="315"/>
      <c r="H40" s="314"/>
      <c r="I40" s="315"/>
      <c r="J40" s="314"/>
      <c r="K40" s="315"/>
      <c r="L40" s="314"/>
      <c r="M40" s="315"/>
      <c r="N40" s="314"/>
      <c r="O40" s="315"/>
      <c r="P40" s="314"/>
      <c r="Q40" s="315"/>
      <c r="R40" s="314"/>
      <c r="S40" s="315"/>
      <c r="T40" s="314"/>
      <c r="U40" s="315"/>
      <c r="V40" s="314"/>
      <c r="W40" s="315"/>
      <c r="X40" s="314"/>
      <c r="Y40" s="315"/>
      <c r="Z40" s="314"/>
      <c r="AA40" s="315"/>
      <c r="AB40" s="314"/>
      <c r="AC40" s="315"/>
      <c r="AD40" s="314"/>
      <c r="AE40" s="315"/>
      <c r="AF40" s="314"/>
      <c r="AG40" s="315"/>
      <c r="AH40" s="314"/>
      <c r="AI40" s="315"/>
      <c r="AJ40" s="314"/>
      <c r="AK40" s="315"/>
      <c r="AL40" s="314"/>
      <c r="AM40" s="315"/>
      <c r="AN40" s="16" t="s">
        <v>98</v>
      </c>
      <c r="AO40" s="9"/>
      <c r="AP40" s="16"/>
      <c r="AQ40" s="9"/>
      <c r="AR40" s="16"/>
      <c r="AS40" s="9"/>
      <c r="AT40" s="16"/>
      <c r="AU40" s="189"/>
      <c r="AV40" s="167"/>
      <c r="AW40" s="234"/>
    </row>
    <row r="41" spans="1:49" s="6" customFormat="1" ht="30" customHeight="1">
      <c r="A41" s="341"/>
      <c r="B41" s="358" t="s">
        <v>165</v>
      </c>
      <c r="C41" s="315"/>
      <c r="D41" s="314"/>
      <c r="E41" s="315"/>
      <c r="F41" s="314"/>
      <c r="G41" s="315"/>
      <c r="H41" s="314"/>
      <c r="I41" s="315"/>
      <c r="J41" s="314"/>
      <c r="K41" s="315"/>
      <c r="L41" s="314"/>
      <c r="M41" s="315"/>
      <c r="N41" s="314"/>
      <c r="O41" s="315"/>
      <c r="P41" s="314"/>
      <c r="Q41" s="315"/>
      <c r="R41" s="314"/>
      <c r="S41" s="315"/>
      <c r="T41" s="314"/>
      <c r="U41" s="315"/>
      <c r="V41" s="314"/>
      <c r="W41" s="315"/>
      <c r="X41" s="314"/>
      <c r="Y41" s="315"/>
      <c r="Z41" s="314"/>
      <c r="AA41" s="315"/>
      <c r="AB41" s="314"/>
      <c r="AC41" s="315"/>
      <c r="AD41" s="314"/>
      <c r="AE41" s="315"/>
      <c r="AF41" s="314"/>
      <c r="AG41" s="315"/>
      <c r="AH41" s="314"/>
      <c r="AI41" s="315"/>
      <c r="AJ41" s="314"/>
      <c r="AK41" s="315"/>
      <c r="AL41" s="314"/>
      <c r="AM41" s="315"/>
      <c r="AN41" s="16" t="s">
        <v>98</v>
      </c>
      <c r="AO41" s="9"/>
      <c r="AP41" s="16"/>
      <c r="AQ41" s="9"/>
      <c r="AR41" s="16"/>
      <c r="AS41" s="9"/>
      <c r="AT41" s="16"/>
      <c r="AU41" s="189"/>
      <c r="AV41" s="167"/>
      <c r="AW41" s="234"/>
    </row>
    <row r="42" spans="1:49" s="6" customFormat="1" ht="30" customHeight="1">
      <c r="A42" s="341"/>
      <c r="B42" s="322" t="s">
        <v>166</v>
      </c>
      <c r="C42" s="229" t="s">
        <v>167</v>
      </c>
      <c r="D42" s="343"/>
      <c r="E42" s="315"/>
      <c r="F42" s="343"/>
      <c r="G42" s="315"/>
      <c r="H42" s="343"/>
      <c r="I42" s="315"/>
      <c r="J42" s="343"/>
      <c r="K42" s="315"/>
      <c r="L42" s="343"/>
      <c r="M42" s="315"/>
      <c r="N42" s="343"/>
      <c r="O42" s="315"/>
      <c r="P42" s="343"/>
      <c r="Q42" s="315"/>
      <c r="R42" s="343"/>
      <c r="S42" s="315"/>
      <c r="T42" s="343"/>
      <c r="U42" s="315"/>
      <c r="V42" s="343"/>
      <c r="W42" s="315"/>
      <c r="X42" s="343"/>
      <c r="Y42" s="315"/>
      <c r="Z42" s="343"/>
      <c r="AA42" s="315"/>
      <c r="AB42" s="343"/>
      <c r="AC42" s="315"/>
      <c r="AD42" s="343"/>
      <c r="AE42" s="315"/>
      <c r="AF42" s="343"/>
      <c r="AG42" s="315"/>
      <c r="AH42" s="343"/>
      <c r="AI42" s="315"/>
      <c r="AJ42" s="343"/>
      <c r="AK42" s="315"/>
      <c r="AL42" s="343"/>
      <c r="AM42" s="315"/>
      <c r="AN42" s="230" t="s">
        <v>158</v>
      </c>
      <c r="AO42" s="231"/>
      <c r="AP42" s="230"/>
      <c r="AQ42" s="231"/>
      <c r="AR42" s="230"/>
      <c r="AS42" s="231"/>
      <c r="AT42" s="230"/>
      <c r="AU42" s="232"/>
      <c r="AV42" s="233"/>
      <c r="AW42" s="237"/>
    </row>
    <row r="43" spans="1:49" s="6" customFormat="1" ht="30" customHeight="1">
      <c r="A43" s="341"/>
      <c r="B43" s="323"/>
      <c r="C43" s="229" t="s">
        <v>168</v>
      </c>
      <c r="D43" s="343"/>
      <c r="E43" s="315"/>
      <c r="F43" s="343"/>
      <c r="G43" s="315"/>
      <c r="H43" s="343"/>
      <c r="I43" s="315"/>
      <c r="J43" s="343"/>
      <c r="K43" s="315"/>
      <c r="L43" s="343"/>
      <c r="M43" s="315"/>
      <c r="N43" s="343"/>
      <c r="O43" s="315"/>
      <c r="P43" s="343"/>
      <c r="Q43" s="315"/>
      <c r="R43" s="343"/>
      <c r="S43" s="315"/>
      <c r="T43" s="343"/>
      <c r="U43" s="315"/>
      <c r="V43" s="343"/>
      <c r="W43" s="315"/>
      <c r="X43" s="343"/>
      <c r="Y43" s="315"/>
      <c r="Z43" s="343"/>
      <c r="AA43" s="315"/>
      <c r="AB43" s="343"/>
      <c r="AC43" s="315"/>
      <c r="AD43" s="343"/>
      <c r="AE43" s="315"/>
      <c r="AF43" s="343"/>
      <c r="AG43" s="315"/>
      <c r="AH43" s="343"/>
      <c r="AI43" s="315"/>
      <c r="AJ43" s="343"/>
      <c r="AK43" s="315"/>
      <c r="AL43" s="343"/>
      <c r="AM43" s="315"/>
      <c r="AN43" s="230" t="s">
        <v>158</v>
      </c>
      <c r="AO43" s="231"/>
      <c r="AP43" s="230"/>
      <c r="AQ43" s="231"/>
      <c r="AR43" s="230"/>
      <c r="AS43" s="231"/>
      <c r="AT43" s="230"/>
      <c r="AU43" s="232"/>
      <c r="AV43" s="233"/>
      <c r="AW43" s="237"/>
    </row>
    <row r="44" spans="1:49" s="6" customFormat="1" ht="30" customHeight="1">
      <c r="A44" s="341"/>
      <c r="B44" s="324"/>
      <c r="C44" s="160" t="s">
        <v>169</v>
      </c>
      <c r="D44" s="319"/>
      <c r="E44" s="315"/>
      <c r="F44" s="319"/>
      <c r="G44" s="315"/>
      <c r="H44" s="319"/>
      <c r="I44" s="315"/>
      <c r="J44" s="319"/>
      <c r="K44" s="315"/>
      <c r="L44" s="319"/>
      <c r="M44" s="315"/>
      <c r="N44" s="319"/>
      <c r="O44" s="315"/>
      <c r="P44" s="319"/>
      <c r="Q44" s="315"/>
      <c r="R44" s="319"/>
      <c r="S44" s="315"/>
      <c r="T44" s="319"/>
      <c r="U44" s="315"/>
      <c r="V44" s="319"/>
      <c r="W44" s="315"/>
      <c r="X44" s="319"/>
      <c r="Y44" s="315"/>
      <c r="Z44" s="319"/>
      <c r="AA44" s="315"/>
      <c r="AB44" s="319"/>
      <c r="AC44" s="315"/>
      <c r="AD44" s="319"/>
      <c r="AE44" s="315"/>
      <c r="AF44" s="319"/>
      <c r="AG44" s="315"/>
      <c r="AH44" s="319"/>
      <c r="AI44" s="315"/>
      <c r="AJ44" s="319"/>
      <c r="AK44" s="315"/>
      <c r="AL44" s="319"/>
      <c r="AM44" s="315"/>
      <c r="AN44" s="8" t="s">
        <v>89</v>
      </c>
      <c r="AO44" s="8"/>
      <c r="AP44" s="8"/>
      <c r="AQ44" s="8"/>
      <c r="AR44" s="8"/>
      <c r="AS44" s="8"/>
      <c r="AT44" s="8"/>
      <c r="AU44" s="162"/>
      <c r="AV44" s="172"/>
      <c r="AW44" s="234"/>
    </row>
    <row r="45" spans="1:49" s="6" customFormat="1" ht="30" customHeight="1">
      <c r="A45" s="341"/>
      <c r="B45" s="355" t="s">
        <v>170</v>
      </c>
      <c r="C45" s="315"/>
      <c r="D45" s="319"/>
      <c r="E45" s="315"/>
      <c r="F45" s="319"/>
      <c r="G45" s="315"/>
      <c r="H45" s="319"/>
      <c r="I45" s="315"/>
      <c r="J45" s="319"/>
      <c r="K45" s="315"/>
      <c r="L45" s="319"/>
      <c r="M45" s="315"/>
      <c r="N45" s="319"/>
      <c r="O45" s="315"/>
      <c r="P45" s="319"/>
      <c r="Q45" s="315"/>
      <c r="R45" s="319"/>
      <c r="S45" s="315"/>
      <c r="T45" s="319"/>
      <c r="U45" s="315"/>
      <c r="V45" s="319"/>
      <c r="W45" s="315"/>
      <c r="X45" s="319"/>
      <c r="Y45" s="315"/>
      <c r="Z45" s="319"/>
      <c r="AA45" s="315"/>
      <c r="AB45" s="319"/>
      <c r="AC45" s="315"/>
      <c r="AD45" s="319"/>
      <c r="AE45" s="315"/>
      <c r="AF45" s="319"/>
      <c r="AG45" s="315"/>
      <c r="AH45" s="319"/>
      <c r="AI45" s="315"/>
      <c r="AJ45" s="319"/>
      <c r="AK45" s="315"/>
      <c r="AL45" s="319"/>
      <c r="AM45" s="315"/>
      <c r="AN45" s="8" t="s">
        <v>89</v>
      </c>
      <c r="AO45" s="8"/>
      <c r="AP45" s="161"/>
      <c r="AQ45" s="161"/>
      <c r="AR45" s="8"/>
      <c r="AS45" s="8"/>
      <c r="AT45" s="8"/>
      <c r="AU45" s="162"/>
      <c r="AV45" s="172"/>
      <c r="AW45" s="234"/>
    </row>
    <row r="46" spans="1:49" s="6" customFormat="1" ht="30" customHeight="1">
      <c r="A46" s="342"/>
      <c r="B46" s="356" t="s">
        <v>171</v>
      </c>
      <c r="C46" s="290"/>
      <c r="D46" s="351"/>
      <c r="E46" s="290"/>
      <c r="F46" s="351"/>
      <c r="G46" s="290"/>
      <c r="H46" s="351"/>
      <c r="I46" s="290"/>
      <c r="J46" s="351"/>
      <c r="K46" s="290"/>
      <c r="L46" s="351"/>
      <c r="M46" s="290"/>
      <c r="N46" s="351"/>
      <c r="O46" s="290"/>
      <c r="P46" s="351"/>
      <c r="Q46" s="290"/>
      <c r="R46" s="351"/>
      <c r="S46" s="290"/>
      <c r="T46" s="351"/>
      <c r="U46" s="290"/>
      <c r="V46" s="351"/>
      <c r="W46" s="290"/>
      <c r="X46" s="351"/>
      <c r="Y46" s="290"/>
      <c r="Z46" s="351"/>
      <c r="AA46" s="290"/>
      <c r="AB46" s="351"/>
      <c r="AC46" s="290"/>
      <c r="AD46" s="351"/>
      <c r="AE46" s="290"/>
      <c r="AF46" s="351"/>
      <c r="AG46" s="290"/>
      <c r="AH46" s="351"/>
      <c r="AI46" s="290"/>
      <c r="AJ46" s="351"/>
      <c r="AK46" s="290"/>
      <c r="AL46" s="351"/>
      <c r="AM46" s="290"/>
      <c r="AN46" s="185" t="s">
        <v>98</v>
      </c>
      <c r="AO46" s="186"/>
      <c r="AP46" s="185"/>
      <c r="AQ46" s="186"/>
      <c r="AR46" s="185"/>
      <c r="AS46" s="186"/>
      <c r="AT46" s="185"/>
      <c r="AU46" s="187"/>
      <c r="AV46" s="167"/>
      <c r="AW46" s="234"/>
    </row>
  </sheetData>
  <mergeCells count="874">
    <mergeCell ref="A32:A46"/>
    <mergeCell ref="AN18:AO18"/>
    <mergeCell ref="F27:G27"/>
    <mergeCell ref="T13:U13"/>
    <mergeCell ref="H27:I27"/>
    <mergeCell ref="P18:Q18"/>
    <mergeCell ref="V7:W7"/>
    <mergeCell ref="AH26:AI26"/>
    <mergeCell ref="L34:M34"/>
    <mergeCell ref="AJ26:AK26"/>
    <mergeCell ref="J43:K43"/>
    <mergeCell ref="N34:O34"/>
    <mergeCell ref="D42:E42"/>
    <mergeCell ref="V25:W25"/>
    <mergeCell ref="X25:Y25"/>
    <mergeCell ref="AB33:AC33"/>
    <mergeCell ref="T36:U36"/>
    <mergeCell ref="L36:M36"/>
    <mergeCell ref="N36:O36"/>
    <mergeCell ref="F44:G44"/>
    <mergeCell ref="H46:I46"/>
    <mergeCell ref="P8:Q8"/>
    <mergeCell ref="R37:S37"/>
    <mergeCell ref="AD15:AE15"/>
    <mergeCell ref="P5:Q5"/>
    <mergeCell ref="R5:S5"/>
    <mergeCell ref="L10:M10"/>
    <mergeCell ref="N10:O10"/>
    <mergeCell ref="R17:S17"/>
    <mergeCell ref="L8:M8"/>
    <mergeCell ref="N8:O8"/>
    <mergeCell ref="R44:S44"/>
    <mergeCell ref="P44:Q44"/>
    <mergeCell ref="P28:Q28"/>
    <mergeCell ref="N30:O30"/>
    <mergeCell ref="P30:Q30"/>
    <mergeCell ref="N18:O18"/>
    <mergeCell ref="N17:O17"/>
    <mergeCell ref="L26:M26"/>
    <mergeCell ref="P17:Q17"/>
    <mergeCell ref="L23:M23"/>
    <mergeCell ref="N23:O23"/>
    <mergeCell ref="P23:Q23"/>
    <mergeCell ref="L43:M43"/>
    <mergeCell ref="L32:M32"/>
    <mergeCell ref="N32:O32"/>
    <mergeCell ref="N38:O38"/>
    <mergeCell ref="L38:M38"/>
    <mergeCell ref="AL45:AM45"/>
    <mergeCell ref="AD43:AE43"/>
    <mergeCell ref="AF43:AG43"/>
    <mergeCell ref="V43:W43"/>
    <mergeCell ref="X43:Y43"/>
    <mergeCell ref="AD22:AE22"/>
    <mergeCell ref="AH43:AI43"/>
    <mergeCell ref="AL34:AM34"/>
    <mergeCell ref="AJ43:AK43"/>
    <mergeCell ref="AJ33:AK33"/>
    <mergeCell ref="AB45:AC45"/>
    <mergeCell ref="AJ42:AK42"/>
    <mergeCell ref="AB37:AC37"/>
    <mergeCell ref="AD37:AE37"/>
    <mergeCell ref="AF44:AG44"/>
    <mergeCell ref="AH44:AI44"/>
    <mergeCell ref="AH31:AI31"/>
    <mergeCell ref="X39:Y39"/>
    <mergeCell ref="V40:W40"/>
    <mergeCell ref="AD41:AE41"/>
    <mergeCell ref="V41:W41"/>
    <mergeCell ref="AF41:AG41"/>
    <mergeCell ref="X41:Y41"/>
    <mergeCell ref="AF38:AG38"/>
    <mergeCell ref="AP14:AQ14"/>
    <mergeCell ref="AL6:AM6"/>
    <mergeCell ref="AJ11:AK11"/>
    <mergeCell ref="AB14:AC14"/>
    <mergeCell ref="AL11:AM11"/>
    <mergeCell ref="AD14:AE14"/>
    <mergeCell ref="T14:U14"/>
    <mergeCell ref="V14:W14"/>
    <mergeCell ref="AD20:AE20"/>
    <mergeCell ref="T20:U20"/>
    <mergeCell ref="T17:U17"/>
    <mergeCell ref="Z14:AA14"/>
    <mergeCell ref="AB11:AC11"/>
    <mergeCell ref="AJ9:AK9"/>
    <mergeCell ref="AL9:AM9"/>
    <mergeCell ref="AD12:AE12"/>
    <mergeCell ref="AD9:AE9"/>
    <mergeCell ref="V12:W12"/>
    <mergeCell ref="X12:Y12"/>
    <mergeCell ref="AB20:AC20"/>
    <mergeCell ref="AN8:AO8"/>
    <mergeCell ref="AR29:AS29"/>
    <mergeCell ref="T19:U19"/>
    <mergeCell ref="AR31:AS31"/>
    <mergeCell ref="AD13:AE13"/>
    <mergeCell ref="J30:K30"/>
    <mergeCell ref="AH42:AI42"/>
    <mergeCell ref="N21:O21"/>
    <mergeCell ref="F24:G24"/>
    <mergeCell ref="AF29:AG29"/>
    <mergeCell ref="P21:Q21"/>
    <mergeCell ref="AH29:AI29"/>
    <mergeCell ref="AJ37:AK37"/>
    <mergeCell ref="AJ24:AK24"/>
    <mergeCell ref="AL24:AM24"/>
    <mergeCell ref="AR26:AS26"/>
    <mergeCell ref="H40:I40"/>
    <mergeCell ref="J40:K40"/>
    <mergeCell ref="AL41:AM41"/>
    <mergeCell ref="F36:G36"/>
    <mergeCell ref="AH39:AI39"/>
    <mergeCell ref="N13:O13"/>
    <mergeCell ref="J38:K38"/>
    <mergeCell ref="X42:Y42"/>
    <mergeCell ref="R35:S35"/>
    <mergeCell ref="AJ18:AK18"/>
    <mergeCell ref="AD27:AE27"/>
    <mergeCell ref="J35:K35"/>
    <mergeCell ref="AL18:AM18"/>
    <mergeCell ref="L35:M35"/>
    <mergeCell ref="AN9:AO9"/>
    <mergeCell ref="V34:W34"/>
    <mergeCell ref="F15:G15"/>
    <mergeCell ref="AF35:AG35"/>
    <mergeCell ref="AL21:AM21"/>
    <mergeCell ref="AJ30:AK30"/>
    <mergeCell ref="F12:G12"/>
    <mergeCell ref="AF13:AG13"/>
    <mergeCell ref="AJ15:AK15"/>
    <mergeCell ref="F16:G16"/>
    <mergeCell ref="AT6:AU6"/>
    <mergeCell ref="AT26:AU26"/>
    <mergeCell ref="AL16:AM16"/>
    <mergeCell ref="AD19:AE19"/>
    <mergeCell ref="L33:M33"/>
    <mergeCell ref="AN16:AO16"/>
    <mergeCell ref="N33:O33"/>
    <mergeCell ref="T11:U11"/>
    <mergeCell ref="AP30:AQ30"/>
    <mergeCell ref="V11:W11"/>
    <mergeCell ref="AR30:AS30"/>
    <mergeCell ref="X32:Y32"/>
    <mergeCell ref="Z32:AA32"/>
    <mergeCell ref="AL32:AM32"/>
    <mergeCell ref="N12:O12"/>
    <mergeCell ref="AD25:AE25"/>
    <mergeCell ref="AP22:AQ22"/>
    <mergeCell ref="AT29:AU29"/>
    <mergeCell ref="AT23:AU23"/>
    <mergeCell ref="AP25:AQ25"/>
    <mergeCell ref="AT31:AU31"/>
    <mergeCell ref="AT28:AU28"/>
    <mergeCell ref="R31:S31"/>
    <mergeCell ref="AL26:AM26"/>
    <mergeCell ref="AR5:AS5"/>
    <mergeCell ref="AJ5:AK5"/>
    <mergeCell ref="J22:K22"/>
    <mergeCell ref="AL5:AM5"/>
    <mergeCell ref="L22:M22"/>
    <mergeCell ref="T22:U22"/>
    <mergeCell ref="AF28:AG28"/>
    <mergeCell ref="X31:Y31"/>
    <mergeCell ref="AH28:AI28"/>
    <mergeCell ref="Z31:AA31"/>
    <mergeCell ref="AH21:AI21"/>
    <mergeCell ref="AJ21:AK21"/>
    <mergeCell ref="AB24:AC24"/>
    <mergeCell ref="AD24:AE24"/>
    <mergeCell ref="R24:S24"/>
    <mergeCell ref="P31:Q31"/>
    <mergeCell ref="R8:S8"/>
    <mergeCell ref="AF6:AG6"/>
    <mergeCell ref="N28:O28"/>
    <mergeCell ref="AF11:AG11"/>
    <mergeCell ref="X14:Y14"/>
    <mergeCell ref="AH11:AI11"/>
    <mergeCell ref="AR9:AS9"/>
    <mergeCell ref="L12:M12"/>
    <mergeCell ref="D10:E10"/>
    <mergeCell ref="N7:O7"/>
    <mergeCell ref="F10:G10"/>
    <mergeCell ref="D34:E34"/>
    <mergeCell ref="F34:G34"/>
    <mergeCell ref="N25:O25"/>
    <mergeCell ref="P25:Q25"/>
    <mergeCell ref="AH8:AI8"/>
    <mergeCell ref="AJ8:AK8"/>
    <mergeCell ref="R16:S16"/>
    <mergeCell ref="F30:G30"/>
    <mergeCell ref="AH10:AI10"/>
    <mergeCell ref="AJ10:AK10"/>
    <mergeCell ref="J27:K27"/>
    <mergeCell ref="T9:U9"/>
    <mergeCell ref="V9:W9"/>
    <mergeCell ref="J20:K20"/>
    <mergeCell ref="L20:M20"/>
    <mergeCell ref="D29:E29"/>
    <mergeCell ref="D23:E23"/>
    <mergeCell ref="AH23:AI23"/>
    <mergeCell ref="Z26:AA26"/>
    <mergeCell ref="AB32:AC32"/>
    <mergeCell ref="F7:G7"/>
    <mergeCell ref="D13:E13"/>
    <mergeCell ref="V28:W28"/>
    <mergeCell ref="AH20:AI20"/>
    <mergeCell ref="AF25:AG25"/>
    <mergeCell ref="X28:Y28"/>
    <mergeCell ref="X34:Y34"/>
    <mergeCell ref="L14:M14"/>
    <mergeCell ref="AN22:AO22"/>
    <mergeCell ref="N14:O14"/>
    <mergeCell ref="V30:W30"/>
    <mergeCell ref="Z21:AA21"/>
    <mergeCell ref="X30:Y30"/>
    <mergeCell ref="AB21:AC21"/>
    <mergeCell ref="X29:Y29"/>
    <mergeCell ref="P32:Q32"/>
    <mergeCell ref="Z29:AA29"/>
    <mergeCell ref="R32:S32"/>
    <mergeCell ref="AN32:AO32"/>
    <mergeCell ref="R26:S26"/>
    <mergeCell ref="T26:U26"/>
    <mergeCell ref="X33:Y33"/>
    <mergeCell ref="Z33:AA33"/>
    <mergeCell ref="Z24:AA24"/>
    <mergeCell ref="T27:U27"/>
    <mergeCell ref="D8:E8"/>
    <mergeCell ref="X35:Y35"/>
    <mergeCell ref="F37:G37"/>
    <mergeCell ref="Z35:AA35"/>
    <mergeCell ref="AF7:AG7"/>
    <mergeCell ref="X10:Y10"/>
    <mergeCell ref="AH7:AI7"/>
    <mergeCell ref="Z10:AA10"/>
    <mergeCell ref="H24:I24"/>
    <mergeCell ref="AB10:AC10"/>
    <mergeCell ref="H18:I18"/>
    <mergeCell ref="J18:K18"/>
    <mergeCell ref="J17:K17"/>
    <mergeCell ref="H26:I26"/>
    <mergeCell ref="AF36:AG36"/>
    <mergeCell ref="L17:M17"/>
    <mergeCell ref="D20:E20"/>
    <mergeCell ref="N11:O11"/>
    <mergeCell ref="J19:K19"/>
    <mergeCell ref="L19:M19"/>
    <mergeCell ref="D22:E22"/>
    <mergeCell ref="Z23:AA23"/>
    <mergeCell ref="H37:I37"/>
    <mergeCell ref="AB23:AC23"/>
    <mergeCell ref="AJ36:AK36"/>
    <mergeCell ref="AJ29:AK29"/>
    <mergeCell ref="AH33:AI33"/>
    <mergeCell ref="AR14:AS14"/>
    <mergeCell ref="AJ39:AK39"/>
    <mergeCell ref="B39:B40"/>
    <mergeCell ref="P42:Q42"/>
    <mergeCell ref="L39:M39"/>
    <mergeCell ref="A27:B27"/>
    <mergeCell ref="N39:O39"/>
    <mergeCell ref="P39:Q39"/>
    <mergeCell ref="AD16:AE16"/>
    <mergeCell ref="D33:E33"/>
    <mergeCell ref="B41:C41"/>
    <mergeCell ref="AB18:AC18"/>
    <mergeCell ref="AD18:AE18"/>
    <mergeCell ref="D35:E35"/>
    <mergeCell ref="AR28:AS28"/>
    <mergeCell ref="F14:G14"/>
    <mergeCell ref="AF22:AG22"/>
    <mergeCell ref="AF19:AG19"/>
    <mergeCell ref="X22:Y22"/>
    <mergeCell ref="V22:W22"/>
    <mergeCell ref="AB27:AC27"/>
    <mergeCell ref="J5:K5"/>
    <mergeCell ref="H29:I29"/>
    <mergeCell ref="R29:S29"/>
    <mergeCell ref="T45:U45"/>
    <mergeCell ref="H6:I6"/>
    <mergeCell ref="J6:K6"/>
    <mergeCell ref="AB8:AC8"/>
    <mergeCell ref="AB5:AC5"/>
    <mergeCell ref="AD5:AE5"/>
    <mergeCell ref="H45:I45"/>
    <mergeCell ref="L7:M7"/>
    <mergeCell ref="R7:S7"/>
    <mergeCell ref="J45:K45"/>
    <mergeCell ref="L45:M45"/>
    <mergeCell ref="V6:W6"/>
    <mergeCell ref="Z39:AA39"/>
    <mergeCell ref="X6:Y6"/>
    <mergeCell ref="AB39:AC39"/>
    <mergeCell ref="Z45:AA45"/>
    <mergeCell ref="Z42:AA42"/>
    <mergeCell ref="Z44:AA44"/>
    <mergeCell ref="P16:Q16"/>
    <mergeCell ref="J41:K41"/>
    <mergeCell ref="L41:M41"/>
    <mergeCell ref="F5:G5"/>
    <mergeCell ref="R45:S45"/>
    <mergeCell ref="X44:Y44"/>
    <mergeCell ref="H38:I38"/>
    <mergeCell ref="N43:O43"/>
    <mergeCell ref="AP26:AQ26"/>
    <mergeCell ref="D17:E17"/>
    <mergeCell ref="Z8:AA8"/>
    <mergeCell ref="T40:U40"/>
    <mergeCell ref="H16:I16"/>
    <mergeCell ref="AP17:AQ17"/>
    <mergeCell ref="AJ44:AK44"/>
    <mergeCell ref="AL44:AM44"/>
    <mergeCell ref="AD38:AE38"/>
    <mergeCell ref="T38:U38"/>
    <mergeCell ref="V38:W38"/>
    <mergeCell ref="N41:O41"/>
    <mergeCell ref="P41:Q41"/>
    <mergeCell ref="V13:W13"/>
    <mergeCell ref="X13:Y13"/>
    <mergeCell ref="X7:Y7"/>
    <mergeCell ref="AB40:AC40"/>
    <mergeCell ref="Z7:AA7"/>
    <mergeCell ref="H21:I21"/>
    <mergeCell ref="A4:A5"/>
    <mergeCell ref="J16:K16"/>
    <mergeCell ref="V27:W27"/>
    <mergeCell ref="AL42:AM42"/>
    <mergeCell ref="AL17:AM17"/>
    <mergeCell ref="L9:M9"/>
    <mergeCell ref="D12:E12"/>
    <mergeCell ref="AN17:AO17"/>
    <mergeCell ref="N9:O9"/>
    <mergeCell ref="AF17:AG17"/>
    <mergeCell ref="Z20:AA20"/>
    <mergeCell ref="T6:U6"/>
    <mergeCell ref="D4:AU4"/>
    <mergeCell ref="AL19:AM19"/>
    <mergeCell ref="L11:M11"/>
    <mergeCell ref="D14:E14"/>
    <mergeCell ref="AN19:AO19"/>
    <mergeCell ref="AL29:AM29"/>
    <mergeCell ref="T37:U37"/>
    <mergeCell ref="V37:W37"/>
    <mergeCell ref="H5:I5"/>
    <mergeCell ref="R23:S23"/>
    <mergeCell ref="AJ31:AK31"/>
    <mergeCell ref="AL31:AM31"/>
    <mergeCell ref="AR7:AS7"/>
    <mergeCell ref="N35:O35"/>
    <mergeCell ref="AT7:AU7"/>
    <mergeCell ref="T24:U24"/>
    <mergeCell ref="P35:Q35"/>
    <mergeCell ref="P10:Q10"/>
    <mergeCell ref="R10:S10"/>
    <mergeCell ref="B33:B35"/>
    <mergeCell ref="X17:Y17"/>
    <mergeCell ref="H25:I25"/>
    <mergeCell ref="AT8:AU8"/>
    <mergeCell ref="D11:E11"/>
    <mergeCell ref="V19:W19"/>
    <mergeCell ref="AF16:AG16"/>
    <mergeCell ref="X19:Y19"/>
    <mergeCell ref="F33:G33"/>
    <mergeCell ref="AF9:AG9"/>
    <mergeCell ref="AH34:AI34"/>
    <mergeCell ref="AH9:AI9"/>
    <mergeCell ref="Z12:AA12"/>
    <mergeCell ref="AB12:AC12"/>
    <mergeCell ref="AJ34:AK34"/>
    <mergeCell ref="AR25:AS25"/>
    <mergeCell ref="AF20:AG20"/>
    <mergeCell ref="AH46:AI46"/>
    <mergeCell ref="F13:G13"/>
    <mergeCell ref="P13:Q13"/>
    <mergeCell ref="H13:I13"/>
    <mergeCell ref="AD32:AE32"/>
    <mergeCell ref="AL23:AM23"/>
    <mergeCell ref="AD26:AE26"/>
    <mergeCell ref="AF32:AG32"/>
    <mergeCell ref="AN23:AO23"/>
    <mergeCell ref="AF26:AG26"/>
    <mergeCell ref="N40:O40"/>
    <mergeCell ref="L40:M40"/>
    <mergeCell ref="F43:G43"/>
    <mergeCell ref="N15:O15"/>
    <mergeCell ref="P15:Q15"/>
    <mergeCell ref="H15:I15"/>
    <mergeCell ref="P33:Q33"/>
    <mergeCell ref="AH41:AI41"/>
    <mergeCell ref="R33:S33"/>
    <mergeCell ref="AD44:AE44"/>
    <mergeCell ref="AD45:AE45"/>
    <mergeCell ref="AF45:AG45"/>
    <mergeCell ref="R42:S42"/>
    <mergeCell ref="AF14:AG14"/>
    <mergeCell ref="AN5:AO5"/>
    <mergeCell ref="N22:O22"/>
    <mergeCell ref="B14:B26"/>
    <mergeCell ref="AP5:AQ5"/>
    <mergeCell ref="P22:Q22"/>
    <mergeCell ref="T42:U42"/>
    <mergeCell ref="AH35:AI35"/>
    <mergeCell ref="AB44:AC44"/>
    <mergeCell ref="T44:U44"/>
    <mergeCell ref="AJ28:AK28"/>
    <mergeCell ref="AB31:AC31"/>
    <mergeCell ref="V44:W44"/>
    <mergeCell ref="AL28:AM28"/>
    <mergeCell ref="AD31:AE31"/>
    <mergeCell ref="AN21:AO21"/>
    <mergeCell ref="F31:G31"/>
    <mergeCell ref="F28:G28"/>
    <mergeCell ref="H28:I28"/>
    <mergeCell ref="AP11:AQ11"/>
    <mergeCell ref="D39:E39"/>
    <mergeCell ref="F39:G39"/>
    <mergeCell ref="AN6:AO6"/>
    <mergeCell ref="AN24:AO24"/>
    <mergeCell ref="AP24:AQ24"/>
    <mergeCell ref="D41:E41"/>
    <mergeCell ref="F41:G41"/>
    <mergeCell ref="R21:S21"/>
    <mergeCell ref="F35:G35"/>
    <mergeCell ref="T21:U21"/>
    <mergeCell ref="AH40:AI40"/>
    <mergeCell ref="AB43:AC43"/>
    <mergeCell ref="AH15:AI15"/>
    <mergeCell ref="H32:I32"/>
    <mergeCell ref="J32:K32"/>
    <mergeCell ref="D43:E43"/>
    <mergeCell ref="T23:U23"/>
    <mergeCell ref="AH30:AI30"/>
    <mergeCell ref="T16:U16"/>
    <mergeCell ref="V16:W16"/>
    <mergeCell ref="H30:I30"/>
    <mergeCell ref="P29:Q29"/>
    <mergeCell ref="AF34:AG34"/>
    <mergeCell ref="J26:K26"/>
    <mergeCell ref="D32:E32"/>
    <mergeCell ref="F32:G32"/>
    <mergeCell ref="AD42:AE42"/>
    <mergeCell ref="AF33:AG33"/>
    <mergeCell ref="AH36:AI36"/>
    <mergeCell ref="AR18:AS18"/>
    <mergeCell ref="B46:C46"/>
    <mergeCell ref="AD23:AE23"/>
    <mergeCell ref="L37:M37"/>
    <mergeCell ref="D40:E40"/>
    <mergeCell ref="N37:O37"/>
    <mergeCell ref="F40:G40"/>
    <mergeCell ref="D46:E46"/>
    <mergeCell ref="AF46:AG46"/>
    <mergeCell ref="J46:K46"/>
    <mergeCell ref="L46:M46"/>
    <mergeCell ref="R46:S46"/>
    <mergeCell ref="T46:U46"/>
    <mergeCell ref="F26:G26"/>
    <mergeCell ref="D25:E25"/>
    <mergeCell ref="H44:I44"/>
    <mergeCell ref="D27:E27"/>
    <mergeCell ref="D36:E36"/>
    <mergeCell ref="D31:E31"/>
    <mergeCell ref="T29:U29"/>
    <mergeCell ref="V23:W23"/>
    <mergeCell ref="X23:Y23"/>
    <mergeCell ref="B42:B44"/>
    <mergeCell ref="H42:I42"/>
    <mergeCell ref="B45:C45"/>
    <mergeCell ref="X36:Y36"/>
    <mergeCell ref="AB41:AC41"/>
    <mergeCell ref="AR22:AS22"/>
    <mergeCell ref="Z36:AA36"/>
    <mergeCell ref="R39:S39"/>
    <mergeCell ref="AT22:AU22"/>
    <mergeCell ref="Z30:AA30"/>
    <mergeCell ref="AD21:AE21"/>
    <mergeCell ref="AB30:AC30"/>
    <mergeCell ref="J39:K39"/>
    <mergeCell ref="T30:U30"/>
    <mergeCell ref="T39:U39"/>
    <mergeCell ref="J44:K44"/>
    <mergeCell ref="AB29:AC29"/>
    <mergeCell ref="T32:U32"/>
    <mergeCell ref="AD29:AE29"/>
    <mergeCell ref="J37:K37"/>
    <mergeCell ref="AJ38:AK38"/>
    <mergeCell ref="L27:M27"/>
    <mergeCell ref="N27:O27"/>
    <mergeCell ref="AB42:AC42"/>
    <mergeCell ref="J42:K42"/>
    <mergeCell ref="AH38:AI38"/>
    <mergeCell ref="AT9:AU9"/>
    <mergeCell ref="B4:B5"/>
    <mergeCell ref="P12:Q12"/>
    <mergeCell ref="Z34:AA34"/>
    <mergeCell ref="AH25:AI25"/>
    <mergeCell ref="Z28:AA28"/>
    <mergeCell ref="AB34:AC34"/>
    <mergeCell ref="AJ25:AK25"/>
    <mergeCell ref="AB28:AC28"/>
    <mergeCell ref="T34:U34"/>
    <mergeCell ref="T28:U28"/>
    <mergeCell ref="F11:G11"/>
    <mergeCell ref="T5:U5"/>
    <mergeCell ref="V5:W5"/>
    <mergeCell ref="AD6:AE6"/>
    <mergeCell ref="AJ13:AK13"/>
    <mergeCell ref="AL13:AM13"/>
    <mergeCell ref="B32:C32"/>
    <mergeCell ref="J23:K23"/>
    <mergeCell ref="D26:E26"/>
    <mergeCell ref="AD8:AE8"/>
    <mergeCell ref="C4:C5"/>
    <mergeCell ref="L16:M16"/>
    <mergeCell ref="D19:E19"/>
    <mergeCell ref="D38:E38"/>
    <mergeCell ref="V46:W46"/>
    <mergeCell ref="AP32:AQ32"/>
    <mergeCell ref="X46:Y46"/>
    <mergeCell ref="Z46:AA46"/>
    <mergeCell ref="Z40:AA40"/>
    <mergeCell ref="AH37:AI37"/>
    <mergeCell ref="AH12:AI12"/>
    <mergeCell ref="AJ12:AK12"/>
    <mergeCell ref="AB15:AC15"/>
    <mergeCell ref="J29:K29"/>
    <mergeCell ref="T15:U15"/>
    <mergeCell ref="AD33:AE33"/>
    <mergeCell ref="AH14:AI14"/>
    <mergeCell ref="H31:I31"/>
    <mergeCell ref="AJ14:AK14"/>
    <mergeCell ref="J24:K24"/>
    <mergeCell ref="AN27:AO27"/>
    <mergeCell ref="N19:O19"/>
    <mergeCell ref="P19:Q19"/>
    <mergeCell ref="F22:G22"/>
    <mergeCell ref="H22:I22"/>
    <mergeCell ref="AP27:AQ27"/>
    <mergeCell ref="AH27:AI27"/>
    <mergeCell ref="AF24:AG24"/>
    <mergeCell ref="Z27:AA27"/>
    <mergeCell ref="F6:G6"/>
    <mergeCell ref="P34:Q34"/>
    <mergeCell ref="P9:Q9"/>
    <mergeCell ref="H34:I34"/>
    <mergeCell ref="R34:S34"/>
    <mergeCell ref="Z25:AA25"/>
    <mergeCell ref="J34:K34"/>
    <mergeCell ref="R25:S25"/>
    <mergeCell ref="AB25:AC25"/>
    <mergeCell ref="T25:U25"/>
    <mergeCell ref="F20:G20"/>
    <mergeCell ref="P11:Q11"/>
    <mergeCell ref="J28:K28"/>
    <mergeCell ref="J25:K25"/>
    <mergeCell ref="J21:K21"/>
    <mergeCell ref="X16:Y16"/>
    <mergeCell ref="Z16:AA16"/>
    <mergeCell ref="AB16:AC16"/>
    <mergeCell ref="J7:K7"/>
    <mergeCell ref="F8:G8"/>
    <mergeCell ref="AL15:AM15"/>
    <mergeCell ref="AR6:AS6"/>
    <mergeCell ref="AJ6:AK6"/>
    <mergeCell ref="X38:Y38"/>
    <mergeCell ref="AR24:AS24"/>
    <mergeCell ref="Z38:AA38"/>
    <mergeCell ref="R41:S41"/>
    <mergeCell ref="AB38:AC38"/>
    <mergeCell ref="T41:U41"/>
    <mergeCell ref="Z13:AA13"/>
    <mergeCell ref="AB13:AC13"/>
    <mergeCell ref="AB7:AC7"/>
    <mergeCell ref="AF40:AG40"/>
    <mergeCell ref="T7:U7"/>
    <mergeCell ref="AD7:AE7"/>
    <mergeCell ref="Z15:AA15"/>
    <mergeCell ref="X40:Y40"/>
    <mergeCell ref="AH24:AI24"/>
    <mergeCell ref="AH18:AI18"/>
    <mergeCell ref="AH17:AI17"/>
    <mergeCell ref="T31:U31"/>
    <mergeCell ref="AL39:AM39"/>
    <mergeCell ref="AJ7:AK7"/>
    <mergeCell ref="AL7:AM7"/>
    <mergeCell ref="R28:S28"/>
    <mergeCell ref="L5:M5"/>
    <mergeCell ref="N5:O5"/>
    <mergeCell ref="R12:S12"/>
    <mergeCell ref="AN31:AO31"/>
    <mergeCell ref="T12:U12"/>
    <mergeCell ref="AP31:AQ31"/>
    <mergeCell ref="AP6:AQ6"/>
    <mergeCell ref="X20:Y20"/>
    <mergeCell ref="AH6:AI6"/>
    <mergeCell ref="AJ17:AK17"/>
    <mergeCell ref="AP19:AQ19"/>
    <mergeCell ref="AH19:AI19"/>
    <mergeCell ref="Z22:AA22"/>
    <mergeCell ref="AB22:AC22"/>
    <mergeCell ref="AJ19:AK19"/>
    <mergeCell ref="L30:M30"/>
    <mergeCell ref="AD10:AE10"/>
    <mergeCell ref="L24:M24"/>
    <mergeCell ref="AF10:AG10"/>
    <mergeCell ref="L18:M18"/>
    <mergeCell ref="AF5:AG5"/>
    <mergeCell ref="T8:U8"/>
    <mergeCell ref="AL8:AM8"/>
    <mergeCell ref="H39:I39"/>
    <mergeCell ref="R30:S30"/>
    <mergeCell ref="D44:E44"/>
    <mergeCell ref="AN29:AO29"/>
    <mergeCell ref="N46:O46"/>
    <mergeCell ref="AP29:AQ29"/>
    <mergeCell ref="P46:Q46"/>
    <mergeCell ref="X37:Y37"/>
    <mergeCell ref="Z37:AA37"/>
    <mergeCell ref="R43:S43"/>
    <mergeCell ref="P43:Q43"/>
    <mergeCell ref="T43:U43"/>
    <mergeCell ref="H41:I41"/>
    <mergeCell ref="P36:Q36"/>
    <mergeCell ref="H36:I36"/>
    <mergeCell ref="R36:S36"/>
    <mergeCell ref="J36:K36"/>
    <mergeCell ref="D37:E37"/>
    <mergeCell ref="X45:Y45"/>
    <mergeCell ref="AF42:AG42"/>
    <mergeCell ref="L44:M44"/>
    <mergeCell ref="AL38:AM38"/>
    <mergeCell ref="AF37:AG37"/>
    <mergeCell ref="H35:I35"/>
    <mergeCell ref="AL36:AM36"/>
    <mergeCell ref="L28:M28"/>
    <mergeCell ref="AT30:AU30"/>
    <mergeCell ref="AR19:AS19"/>
    <mergeCell ref="AR32:AS32"/>
    <mergeCell ref="AL10:AM10"/>
    <mergeCell ref="AT17:AU17"/>
    <mergeCell ref="X11:Y11"/>
    <mergeCell ref="Z11:AA11"/>
    <mergeCell ref="AR12:AS12"/>
    <mergeCell ref="AN26:AO26"/>
    <mergeCell ref="AF31:AG31"/>
    <mergeCell ref="AR11:AS11"/>
    <mergeCell ref="AT11:AU11"/>
    <mergeCell ref="L21:M21"/>
    <mergeCell ref="AR16:AS16"/>
    <mergeCell ref="T18:U18"/>
    <mergeCell ref="V18:W18"/>
    <mergeCell ref="AD17:AE17"/>
    <mergeCell ref="V17:W17"/>
    <mergeCell ref="AL33:AM33"/>
    <mergeCell ref="V36:W36"/>
    <mergeCell ref="AT19:AU19"/>
    <mergeCell ref="AT25:AU25"/>
    <mergeCell ref="AJ46:AK46"/>
    <mergeCell ref="AL46:AM46"/>
    <mergeCell ref="R13:S13"/>
    <mergeCell ref="J13:K13"/>
    <mergeCell ref="AH5:AI5"/>
    <mergeCell ref="L13:M13"/>
    <mergeCell ref="AT12:AU12"/>
    <mergeCell ref="D21:E21"/>
    <mergeCell ref="AP23:AQ23"/>
    <mergeCell ref="V29:W29"/>
    <mergeCell ref="P40:Q40"/>
    <mergeCell ref="R40:S40"/>
    <mergeCell ref="AR23:AS23"/>
    <mergeCell ref="R15:S15"/>
    <mergeCell ref="J15:K15"/>
    <mergeCell ref="L15:M15"/>
    <mergeCell ref="AT14:AU14"/>
    <mergeCell ref="V31:W31"/>
    <mergeCell ref="D16:E16"/>
    <mergeCell ref="AF21:AG21"/>
    <mergeCell ref="X24:Y24"/>
    <mergeCell ref="F38:G38"/>
    <mergeCell ref="V45:W45"/>
    <mergeCell ref="V32:W32"/>
    <mergeCell ref="D5:E5"/>
    <mergeCell ref="R9:S9"/>
    <mergeCell ref="AN28:AO28"/>
    <mergeCell ref="N45:O45"/>
    <mergeCell ref="AP28:AQ28"/>
    <mergeCell ref="P45:Q45"/>
    <mergeCell ref="Z6:AA6"/>
    <mergeCell ref="H20:I20"/>
    <mergeCell ref="AD39:AE39"/>
    <mergeCell ref="AB6:AC6"/>
    <mergeCell ref="AL30:AM30"/>
    <mergeCell ref="AP21:AQ21"/>
    <mergeCell ref="R11:S11"/>
    <mergeCell ref="J14:K14"/>
    <mergeCell ref="AN30:AO30"/>
    <mergeCell ref="R38:S38"/>
    <mergeCell ref="P38:Q38"/>
    <mergeCell ref="AF39:AG39"/>
    <mergeCell ref="D18:E18"/>
    <mergeCell ref="V26:W26"/>
    <mergeCell ref="AF23:AG23"/>
    <mergeCell ref="X26:Y26"/>
    <mergeCell ref="AB17:AC17"/>
    <mergeCell ref="AP16:AQ16"/>
    <mergeCell ref="AL43:AM43"/>
    <mergeCell ref="R22:S22"/>
    <mergeCell ref="AF8:AG8"/>
    <mergeCell ref="AJ35:AK35"/>
    <mergeCell ref="AL35:AM35"/>
    <mergeCell ref="D30:E30"/>
    <mergeCell ref="AH16:AI16"/>
    <mergeCell ref="Z19:AA19"/>
    <mergeCell ref="H33:I33"/>
    <mergeCell ref="AJ16:AK16"/>
    <mergeCell ref="AB19:AC19"/>
    <mergeCell ref="J33:K33"/>
    <mergeCell ref="AJ41:AK41"/>
    <mergeCell ref="H8:I8"/>
    <mergeCell ref="AF27:AG27"/>
    <mergeCell ref="J8:K8"/>
    <mergeCell ref="D15:E15"/>
    <mergeCell ref="F29:G29"/>
    <mergeCell ref="V42:W42"/>
    <mergeCell ref="H10:I10"/>
    <mergeCell ref="AJ22:AK22"/>
    <mergeCell ref="AL22:AM22"/>
    <mergeCell ref="V21:W21"/>
    <mergeCell ref="X21:Y21"/>
    <mergeCell ref="AB9:AC9"/>
    <mergeCell ref="Z18:AA18"/>
    <mergeCell ref="Z17:AA17"/>
    <mergeCell ref="R20:S20"/>
    <mergeCell ref="A6:A26"/>
    <mergeCell ref="AD11:AE11"/>
    <mergeCell ref="L25:M25"/>
    <mergeCell ref="J10:K10"/>
    <mergeCell ref="F21:G21"/>
    <mergeCell ref="B6:B13"/>
    <mergeCell ref="D24:E24"/>
    <mergeCell ref="H23:I23"/>
    <mergeCell ref="F9:G9"/>
    <mergeCell ref="L6:M6"/>
    <mergeCell ref="N6:O6"/>
    <mergeCell ref="N20:O20"/>
    <mergeCell ref="P20:Q20"/>
    <mergeCell ref="F25:G25"/>
    <mergeCell ref="P7:Q7"/>
    <mergeCell ref="H7:I7"/>
    <mergeCell ref="D6:E6"/>
    <mergeCell ref="D9:E9"/>
    <mergeCell ref="N16:O16"/>
    <mergeCell ref="F19:G19"/>
    <mergeCell ref="AD28:AE28"/>
    <mergeCell ref="AN25:AO25"/>
    <mergeCell ref="AB36:AC36"/>
    <mergeCell ref="AD36:AE36"/>
    <mergeCell ref="AT24:AU24"/>
    <mergeCell ref="V24:W24"/>
    <mergeCell ref="X5:Y5"/>
    <mergeCell ref="F46:G46"/>
    <mergeCell ref="Z5:AA5"/>
    <mergeCell ref="H19:I19"/>
    <mergeCell ref="P37:Q37"/>
    <mergeCell ref="AJ45:AK45"/>
    <mergeCell ref="H12:I12"/>
    <mergeCell ref="AR17:AS17"/>
    <mergeCell ref="J12:K12"/>
    <mergeCell ref="AJ20:AK20"/>
    <mergeCell ref="AL20:AM20"/>
    <mergeCell ref="AL40:AM40"/>
    <mergeCell ref="H43:I43"/>
    <mergeCell ref="AP8:AQ8"/>
    <mergeCell ref="AR8:AS8"/>
    <mergeCell ref="P27:Q27"/>
    <mergeCell ref="X18:Y18"/>
    <mergeCell ref="R27:S27"/>
    <mergeCell ref="AJ23:AK23"/>
    <mergeCell ref="AB26:AC26"/>
    <mergeCell ref="P14:Q14"/>
    <mergeCell ref="AH22:AI22"/>
    <mergeCell ref="AT16:AU16"/>
    <mergeCell ref="T33:U33"/>
    <mergeCell ref="V33:W33"/>
    <mergeCell ref="AJ40:AK40"/>
    <mergeCell ref="V8:W8"/>
    <mergeCell ref="R19:S19"/>
    <mergeCell ref="AR27:AS27"/>
    <mergeCell ref="X8:Y8"/>
    <mergeCell ref="AT27:AU27"/>
    <mergeCell ref="AJ27:AK27"/>
    <mergeCell ref="AL27:AM27"/>
    <mergeCell ref="AB35:AC35"/>
    <mergeCell ref="AD35:AE35"/>
    <mergeCell ref="T35:U35"/>
    <mergeCell ref="AT18:AU18"/>
    <mergeCell ref="V35:W35"/>
    <mergeCell ref="T10:U10"/>
    <mergeCell ref="V10:W10"/>
    <mergeCell ref="AD34:AE34"/>
    <mergeCell ref="AL25:AM25"/>
    <mergeCell ref="N31:O31"/>
    <mergeCell ref="AR21:AS21"/>
    <mergeCell ref="AT21:AU21"/>
    <mergeCell ref="AH45:AI45"/>
    <mergeCell ref="AN7:AO7"/>
    <mergeCell ref="N24:O24"/>
    <mergeCell ref="AP7:AQ7"/>
    <mergeCell ref="P24:Q24"/>
    <mergeCell ref="AH32:AI32"/>
    <mergeCell ref="AJ32:AK32"/>
    <mergeCell ref="R18:S18"/>
    <mergeCell ref="N26:O26"/>
    <mergeCell ref="P26:Q26"/>
    <mergeCell ref="AD30:AE30"/>
    <mergeCell ref="AF30:AG30"/>
    <mergeCell ref="X27:Y27"/>
    <mergeCell ref="AP18:AQ18"/>
    <mergeCell ref="AF18:AG18"/>
    <mergeCell ref="X9:Y9"/>
    <mergeCell ref="Z9:AA9"/>
    <mergeCell ref="AP12:AQ12"/>
    <mergeCell ref="AN11:AO11"/>
    <mergeCell ref="AP9:AQ9"/>
    <mergeCell ref="AH13:AI13"/>
    <mergeCell ref="A28:B31"/>
    <mergeCell ref="H14:I14"/>
    <mergeCell ref="R14:S14"/>
    <mergeCell ref="D28:E28"/>
    <mergeCell ref="AT5:AU5"/>
    <mergeCell ref="AT32:AU32"/>
    <mergeCell ref="AB46:AC46"/>
    <mergeCell ref="AD46:AE46"/>
    <mergeCell ref="AL37:AM37"/>
    <mergeCell ref="AD40:AE40"/>
    <mergeCell ref="AL12:AM12"/>
    <mergeCell ref="D7:E7"/>
    <mergeCell ref="L29:M29"/>
    <mergeCell ref="V15:W15"/>
    <mergeCell ref="AF15:AG15"/>
    <mergeCell ref="N29:O29"/>
    <mergeCell ref="AF12:AG12"/>
    <mergeCell ref="X15:Y15"/>
    <mergeCell ref="AN12:AO12"/>
    <mergeCell ref="F23:G23"/>
    <mergeCell ref="J31:K31"/>
    <mergeCell ref="AL14:AM14"/>
    <mergeCell ref="L31:M31"/>
    <mergeCell ref="AN14:AO14"/>
    <mergeCell ref="X3:AC3"/>
    <mergeCell ref="AD3:AI3"/>
    <mergeCell ref="AJ3:AO3"/>
    <mergeCell ref="AP3:AU3"/>
    <mergeCell ref="D45:E45"/>
    <mergeCell ref="H9:I9"/>
    <mergeCell ref="B36:B38"/>
    <mergeCell ref="J9:K9"/>
    <mergeCell ref="V20:W20"/>
    <mergeCell ref="P6:Q6"/>
    <mergeCell ref="R6:S6"/>
    <mergeCell ref="Z41:AA41"/>
    <mergeCell ref="Z43:AA43"/>
    <mergeCell ref="F18:G18"/>
    <mergeCell ref="L42:M42"/>
    <mergeCell ref="N42:O42"/>
    <mergeCell ref="F42:G42"/>
    <mergeCell ref="F45:G45"/>
    <mergeCell ref="F17:G17"/>
    <mergeCell ref="H17:I17"/>
    <mergeCell ref="V39:W39"/>
    <mergeCell ref="H11:I11"/>
    <mergeCell ref="J11:K11"/>
    <mergeCell ref="N44:O44"/>
  </mergeCells>
  <phoneticPr fontId="2" type="noConversion"/>
  <printOptions horizontalCentered="1"/>
  <pageMargins left="0.39370078740157483" right="0.39370078740157483" top="0.78740157480314965" bottom="0.39370078740157483" header="0.39370078740157483" footer="0.39370078740157483"/>
  <pageSetup paperSize="9" scale="54" orientation="portrait" r:id="rId1"/>
  <colBreaks count="1" manualBreakCount="1">
    <brk id="47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47"/>
  <sheetViews>
    <sheetView showGridLines="0" view="pageBreakPreview" zoomScale="80" zoomScaleNormal="73" zoomScaleSheetLayoutView="80" workbookViewId="0">
      <pane ySplit="7" topLeftCell="A8" activePane="bottomLeft" state="frozen"/>
      <selection pane="bottomLeft" activeCell="F1" sqref="F1:F1048576"/>
    </sheetView>
  </sheetViews>
  <sheetFormatPr defaultColWidth="10.23046875" defaultRowHeight="17.600000000000001"/>
  <cols>
    <col min="1" max="1" width="9.53515625" style="24" customWidth="1"/>
    <col min="2" max="2" width="15.69140625" style="24" customWidth="1"/>
    <col min="3" max="3" width="43.3828125" style="24" customWidth="1"/>
    <col min="4" max="4" width="13.3828125" style="24" customWidth="1"/>
    <col min="5" max="5" width="18.69140625" style="24" customWidth="1"/>
    <col min="6" max="6" width="24.69140625" style="24" customWidth="1"/>
    <col min="7" max="7" width="18.69140625" style="24" customWidth="1"/>
    <col min="8" max="8" width="29.53515625" style="24" customWidth="1"/>
    <col min="9" max="10" width="10.23046875" style="5" customWidth="1"/>
    <col min="11" max="11" width="10.23046875" style="24" customWidth="1"/>
    <col min="12" max="16384" width="10.23046875" style="24"/>
  </cols>
  <sheetData>
    <row r="1" spans="1:14" s="21" customFormat="1" ht="50.05" customHeight="1">
      <c r="A1" s="19"/>
      <c r="B1" s="19"/>
      <c r="C1" s="19"/>
      <c r="D1" s="20"/>
      <c r="H1" s="22"/>
      <c r="I1" s="15"/>
      <c r="J1" s="15"/>
      <c r="K1" s="15"/>
      <c r="L1" s="15"/>
      <c r="M1" s="15"/>
      <c r="N1" s="15"/>
    </row>
    <row r="2" spans="1:14" s="23" customFormat="1" ht="30" customHeight="1">
      <c r="E2" s="246"/>
      <c r="H2" s="24"/>
      <c r="I2" s="25"/>
      <c r="J2" s="25"/>
      <c r="K2" s="25"/>
      <c r="L2" s="25"/>
      <c r="M2" s="25"/>
      <c r="N2" s="25"/>
    </row>
    <row r="3" spans="1:14" s="26" customFormat="1" ht="30" customHeight="1">
      <c r="A3" s="151" t="s">
        <v>172</v>
      </c>
      <c r="B3" s="125"/>
      <c r="C3" s="125"/>
      <c r="D3" s="246"/>
      <c r="E3" s="429" t="s">
        <v>319</v>
      </c>
      <c r="F3" s="430" t="s">
        <v>318</v>
      </c>
      <c r="G3" s="431" t="s">
        <v>320</v>
      </c>
      <c r="H3" s="430" t="s">
        <v>316</v>
      </c>
    </row>
    <row r="4" spans="1:14" s="22" customFormat="1" ht="10" customHeight="1" thickBot="1">
      <c r="A4" s="27"/>
      <c r="I4" s="28"/>
      <c r="J4" s="28"/>
    </row>
    <row r="5" spans="1:14" s="31" customFormat="1" ht="30" customHeight="1">
      <c r="A5" s="304" t="s">
        <v>77</v>
      </c>
      <c r="B5" s="300" t="s">
        <v>78</v>
      </c>
      <c r="C5" s="378" t="s">
        <v>79</v>
      </c>
      <c r="D5" s="29" t="s">
        <v>173</v>
      </c>
      <c r="E5" s="29" t="s">
        <v>10</v>
      </c>
      <c r="F5" s="29" t="s">
        <v>23</v>
      </c>
      <c r="G5" s="29" t="s">
        <v>13</v>
      </c>
      <c r="H5" s="375" t="s">
        <v>14</v>
      </c>
      <c r="I5" s="30"/>
      <c r="J5" s="30"/>
      <c r="K5" s="26"/>
    </row>
    <row r="6" spans="1:14" s="31" customFormat="1" ht="30" customHeight="1">
      <c r="A6" s="296"/>
      <c r="B6" s="364"/>
      <c r="C6" s="379"/>
      <c r="D6" s="32" t="s">
        <v>174</v>
      </c>
      <c r="E6" s="32">
        <v>2</v>
      </c>
      <c r="F6" s="32">
        <v>4</v>
      </c>
      <c r="G6" s="33">
        <v>2</v>
      </c>
      <c r="H6" s="376"/>
      <c r="I6" s="30"/>
      <c r="J6" s="30"/>
    </row>
    <row r="7" spans="1:14" s="31" customFormat="1" ht="30" customHeight="1">
      <c r="A7" s="299"/>
      <c r="B7" s="308"/>
      <c r="C7" s="380"/>
      <c r="D7" s="32" t="s">
        <v>175</v>
      </c>
      <c r="E7" s="34" t="str" cm="1">
        <f t="array" ref="E7">_xlfn.TEXTJOIN(",",TRUE,IF(근무표_점검팀!E6:E35="흥해",DAY(근무표_점검팀!A6:A35),""))&amp;"일"</f>
        <v>일</v>
      </c>
      <c r="F7" s="34" t="str" cm="1">
        <f t="array" ref="F7">_xlfn.TEXTJOIN(",",TRUE,IF(근무표_점검팀!E6:E35="청하",DAY(근무표_점검팀!A6:A35),""))&amp;"일"</f>
        <v>일</v>
      </c>
      <c r="G7" s="35" t="str">
        <f t="array" ref="G7">_xlfn.TEXTJOIN(",",TRUE,IF(근무표_점검팀!E6:E35="남정5",DAY(근무표_점검팀!A6:A35),""))&amp;"일"</f>
        <v>일</v>
      </c>
      <c r="H7" s="377"/>
      <c r="I7" s="30"/>
      <c r="J7" s="30"/>
    </row>
    <row r="8" spans="1:14" s="39" customFormat="1" ht="30" customHeight="1">
      <c r="A8" s="371" t="s">
        <v>57</v>
      </c>
      <c r="B8" s="372" t="s">
        <v>176</v>
      </c>
      <c r="C8" s="381" t="s">
        <v>177</v>
      </c>
      <c r="D8" s="361"/>
      <c r="E8" s="36" t="s">
        <v>36</v>
      </c>
      <c r="F8" s="37" t="s">
        <v>36</v>
      </c>
      <c r="G8" s="37" t="s">
        <v>36</v>
      </c>
      <c r="H8" s="38"/>
      <c r="I8" s="6"/>
      <c r="J8" s="6"/>
    </row>
    <row r="9" spans="1:14" s="39" customFormat="1" ht="30" customHeight="1">
      <c r="A9" s="296"/>
      <c r="B9" s="293"/>
      <c r="C9" s="366" t="s">
        <v>178</v>
      </c>
      <c r="D9" s="367"/>
      <c r="E9" s="40" t="s">
        <v>36</v>
      </c>
      <c r="F9" s="41" t="s">
        <v>36</v>
      </c>
      <c r="G9" s="41" t="s">
        <v>36</v>
      </c>
      <c r="H9" s="42"/>
      <c r="I9" s="6"/>
      <c r="J9" s="6"/>
    </row>
    <row r="10" spans="1:14" s="39" customFormat="1" ht="30" customHeight="1">
      <c r="A10" s="296"/>
      <c r="B10" s="293"/>
      <c r="C10" s="366" t="s">
        <v>179</v>
      </c>
      <c r="D10" s="367"/>
      <c r="E10" s="40" t="s">
        <v>36</v>
      </c>
      <c r="F10" s="41" t="s">
        <v>36</v>
      </c>
      <c r="G10" s="41" t="s">
        <v>36</v>
      </c>
      <c r="H10" s="42"/>
      <c r="I10" s="6"/>
      <c r="J10" s="6"/>
    </row>
    <row r="11" spans="1:14" s="39" customFormat="1" ht="30" customHeight="1">
      <c r="A11" s="296"/>
      <c r="B11" s="293"/>
      <c r="C11" s="366" t="s">
        <v>180</v>
      </c>
      <c r="D11" s="367"/>
      <c r="E11" s="40" t="s">
        <v>36</v>
      </c>
      <c r="F11" s="41" t="s">
        <v>36</v>
      </c>
      <c r="G11" s="41" t="s">
        <v>36</v>
      </c>
      <c r="H11" s="42"/>
      <c r="I11" s="6"/>
      <c r="J11" s="6"/>
    </row>
    <row r="12" spans="1:14" s="39" customFormat="1" ht="30" customHeight="1">
      <c r="A12" s="296"/>
      <c r="B12" s="293"/>
      <c r="C12" s="366" t="s">
        <v>181</v>
      </c>
      <c r="D12" s="367"/>
      <c r="E12" s="40" t="s">
        <v>36</v>
      </c>
      <c r="F12" s="41" t="s">
        <v>36</v>
      </c>
      <c r="G12" s="41" t="s">
        <v>36</v>
      </c>
      <c r="H12" s="42"/>
      <c r="I12" s="6"/>
      <c r="J12" s="6"/>
    </row>
    <row r="13" spans="1:14" s="39" customFormat="1" ht="30" customHeight="1">
      <c r="A13" s="296"/>
      <c r="B13" s="373"/>
      <c r="C13" s="368" t="s">
        <v>182</v>
      </c>
      <c r="D13" s="369"/>
      <c r="E13" s="45" t="s">
        <v>36</v>
      </c>
      <c r="F13" s="46" t="s">
        <v>36</v>
      </c>
      <c r="G13" s="46" t="s">
        <v>36</v>
      </c>
      <c r="H13" s="48"/>
      <c r="I13" s="6"/>
      <c r="J13" s="6"/>
    </row>
    <row r="14" spans="1:14" s="39" customFormat="1" ht="30" customHeight="1">
      <c r="A14" s="296"/>
      <c r="B14" s="396" t="s">
        <v>183</v>
      </c>
      <c r="C14" s="381" t="s">
        <v>184</v>
      </c>
      <c r="D14" s="361"/>
      <c r="E14" s="49" t="s">
        <v>36</v>
      </c>
      <c r="F14" s="50" t="s">
        <v>36</v>
      </c>
      <c r="G14" s="50" t="s">
        <v>36</v>
      </c>
      <c r="H14" s="38"/>
      <c r="I14" s="6"/>
      <c r="J14" s="6"/>
    </row>
    <row r="15" spans="1:14" s="39" customFormat="1" ht="30" customHeight="1">
      <c r="A15" s="296"/>
      <c r="B15" s="293"/>
      <c r="C15" s="374" t="s">
        <v>185</v>
      </c>
      <c r="D15" s="367"/>
      <c r="E15" s="52"/>
      <c r="F15" s="53"/>
      <c r="G15" s="53"/>
      <c r="H15" s="54" t="s">
        <v>186</v>
      </c>
      <c r="I15" s="6"/>
      <c r="J15" s="6"/>
    </row>
    <row r="16" spans="1:14" s="39" customFormat="1" ht="30" customHeight="1">
      <c r="A16" s="296"/>
      <c r="B16" s="373"/>
      <c r="C16" s="368" t="s">
        <v>187</v>
      </c>
      <c r="D16" s="369"/>
      <c r="E16" s="45" t="s">
        <v>36</v>
      </c>
      <c r="F16" s="46" t="s">
        <v>36</v>
      </c>
      <c r="G16" s="46" t="s">
        <v>36</v>
      </c>
      <c r="H16" s="48"/>
      <c r="I16" s="6"/>
      <c r="J16" s="6"/>
    </row>
    <row r="17" spans="1:10" s="39" customFormat="1" ht="30" customHeight="1">
      <c r="A17" s="296"/>
      <c r="B17" s="397" t="s">
        <v>188</v>
      </c>
      <c r="C17" s="381" t="s">
        <v>189</v>
      </c>
      <c r="D17" s="361"/>
      <c r="E17" s="49" t="s">
        <v>36</v>
      </c>
      <c r="F17" s="50" t="s">
        <v>36</v>
      </c>
      <c r="G17" s="50" t="s">
        <v>36</v>
      </c>
      <c r="H17" s="38"/>
      <c r="I17" s="6"/>
      <c r="J17" s="6"/>
    </row>
    <row r="18" spans="1:10" s="39" customFormat="1" ht="30" customHeight="1">
      <c r="A18" s="299"/>
      <c r="B18" s="308"/>
      <c r="C18" s="368" t="s">
        <v>190</v>
      </c>
      <c r="D18" s="369"/>
      <c r="E18" s="45" t="s">
        <v>36</v>
      </c>
      <c r="F18" s="46" t="s">
        <v>36</v>
      </c>
      <c r="G18" s="46" t="s">
        <v>36</v>
      </c>
      <c r="H18" s="48"/>
      <c r="I18" s="6"/>
      <c r="J18" s="6"/>
    </row>
    <row r="19" spans="1:10" s="59" customFormat="1" ht="30" customHeight="1">
      <c r="A19" s="392" t="s">
        <v>52</v>
      </c>
      <c r="B19" s="372" t="s">
        <v>191</v>
      </c>
      <c r="C19" s="360" t="s">
        <v>192</v>
      </c>
      <c r="D19" s="361"/>
      <c r="E19" s="55"/>
      <c r="F19" s="56"/>
      <c r="G19" s="56"/>
      <c r="H19" s="57" t="s">
        <v>186</v>
      </c>
      <c r="I19" s="58"/>
      <c r="J19" s="58"/>
    </row>
    <row r="20" spans="1:10" s="59" customFormat="1" ht="30" customHeight="1">
      <c r="A20" s="296"/>
      <c r="B20" s="293"/>
      <c r="C20" s="366" t="s">
        <v>193</v>
      </c>
      <c r="D20" s="367"/>
      <c r="E20" s="40" t="s">
        <v>36</v>
      </c>
      <c r="F20" s="41" t="s">
        <v>36</v>
      </c>
      <c r="G20" s="41" t="s">
        <v>36</v>
      </c>
      <c r="H20" s="60"/>
      <c r="I20" s="61"/>
      <c r="J20" s="58"/>
    </row>
    <row r="21" spans="1:10" s="59" customFormat="1" ht="30" customHeight="1">
      <c r="A21" s="296"/>
      <c r="B21" s="293"/>
      <c r="C21" s="366" t="s">
        <v>194</v>
      </c>
      <c r="D21" s="367"/>
      <c r="E21" s="40" t="s">
        <v>36</v>
      </c>
      <c r="F21" s="41" t="s">
        <v>36</v>
      </c>
      <c r="G21" s="41" t="s">
        <v>36</v>
      </c>
      <c r="H21" s="60"/>
      <c r="I21" s="58"/>
      <c r="J21" s="58"/>
    </row>
    <row r="22" spans="1:10" s="39" customFormat="1" ht="30" customHeight="1">
      <c r="A22" s="296"/>
      <c r="B22" s="373"/>
      <c r="C22" s="368" t="s">
        <v>195</v>
      </c>
      <c r="D22" s="369"/>
      <c r="E22" s="45" t="s">
        <v>36</v>
      </c>
      <c r="F22" s="46" t="s">
        <v>36</v>
      </c>
      <c r="G22" s="46" t="s">
        <v>36</v>
      </c>
      <c r="H22" s="48"/>
      <c r="I22" s="6"/>
      <c r="J22" s="6"/>
    </row>
    <row r="23" spans="1:10" s="39" customFormat="1" ht="30" customHeight="1">
      <c r="A23" s="296"/>
      <c r="B23" s="372" t="s">
        <v>64</v>
      </c>
      <c r="C23" s="385" t="s">
        <v>196</v>
      </c>
      <c r="D23" s="361"/>
      <c r="E23" s="62" t="s">
        <v>83</v>
      </c>
      <c r="F23" s="63" t="s">
        <v>83</v>
      </c>
      <c r="G23" s="63" t="s">
        <v>83</v>
      </c>
      <c r="H23" s="64" t="s">
        <v>197</v>
      </c>
      <c r="I23" s="6"/>
      <c r="J23" s="6"/>
    </row>
    <row r="24" spans="1:10" s="39" customFormat="1" ht="30" customHeight="1">
      <c r="A24" s="296"/>
      <c r="B24" s="293"/>
      <c r="C24" s="384" t="s">
        <v>198</v>
      </c>
      <c r="D24" s="367"/>
      <c r="E24" s="65" t="s">
        <v>83</v>
      </c>
      <c r="F24" s="66" t="s">
        <v>83</v>
      </c>
      <c r="G24" s="66" t="s">
        <v>83</v>
      </c>
      <c r="H24" s="67" t="s">
        <v>197</v>
      </c>
      <c r="I24" s="6"/>
      <c r="J24" s="6"/>
    </row>
    <row r="25" spans="1:10" s="39" customFormat="1" ht="30" customHeight="1">
      <c r="A25" s="299"/>
      <c r="B25" s="373"/>
      <c r="C25" s="370" t="s">
        <v>199</v>
      </c>
      <c r="D25" s="369"/>
      <c r="E25" s="68" t="s">
        <v>83</v>
      </c>
      <c r="F25" s="69" t="s">
        <v>83</v>
      </c>
      <c r="G25" s="69" t="s">
        <v>83</v>
      </c>
      <c r="H25" s="70" t="s">
        <v>197</v>
      </c>
      <c r="I25" s="6"/>
      <c r="J25" s="6"/>
    </row>
    <row r="26" spans="1:10" s="39" customFormat="1" ht="30" customHeight="1">
      <c r="A26" s="386" t="s">
        <v>200</v>
      </c>
      <c r="B26" s="387"/>
      <c r="C26" s="360" t="s">
        <v>201</v>
      </c>
      <c r="D26" s="361"/>
      <c r="E26" s="77"/>
      <c r="F26" s="78"/>
      <c r="G26" s="90"/>
      <c r="H26" s="57" t="s">
        <v>202</v>
      </c>
      <c r="I26" s="6"/>
      <c r="J26" s="6"/>
    </row>
    <row r="27" spans="1:10" s="59" customFormat="1" ht="30" customHeight="1">
      <c r="A27" s="388"/>
      <c r="B27" s="389"/>
      <c r="C27" s="393" t="s">
        <v>203</v>
      </c>
      <c r="D27" s="369"/>
      <c r="E27" s="79"/>
      <c r="F27" s="80"/>
      <c r="G27" s="71"/>
      <c r="H27" s="81" t="s">
        <v>204</v>
      </c>
      <c r="I27" s="58"/>
      <c r="J27" s="58"/>
    </row>
    <row r="28" spans="1:10" s="39" customFormat="1" ht="30" customHeight="1">
      <c r="A28" s="386" t="s">
        <v>72</v>
      </c>
      <c r="B28" s="387"/>
      <c r="C28" s="381" t="s">
        <v>205</v>
      </c>
      <c r="D28" s="361"/>
      <c r="E28" s="49" t="s">
        <v>36</v>
      </c>
      <c r="F28" s="50" t="s">
        <v>36</v>
      </c>
      <c r="G28" s="51" t="s">
        <v>36</v>
      </c>
      <c r="H28" s="38"/>
      <c r="I28" s="6"/>
      <c r="J28" s="6"/>
    </row>
    <row r="29" spans="1:10" s="59" customFormat="1" ht="30" customHeight="1">
      <c r="A29" s="388"/>
      <c r="B29" s="389"/>
      <c r="C29" s="368" t="s">
        <v>206</v>
      </c>
      <c r="D29" s="369"/>
      <c r="E29" s="45" t="s">
        <v>36</v>
      </c>
      <c r="F29" s="46" t="s">
        <v>36</v>
      </c>
      <c r="G29" s="47" t="s">
        <v>36</v>
      </c>
      <c r="H29" s="72"/>
      <c r="I29" s="58"/>
      <c r="J29" s="58"/>
    </row>
    <row r="30" spans="1:10" s="39" customFormat="1" ht="30" customHeight="1">
      <c r="A30" s="371" t="s">
        <v>63</v>
      </c>
      <c r="B30" s="401" t="s">
        <v>66</v>
      </c>
      <c r="C30" s="382" t="s">
        <v>207</v>
      </c>
      <c r="D30" s="383"/>
      <c r="E30" s="62" t="s">
        <v>83</v>
      </c>
      <c r="F30" s="63" t="s">
        <v>83</v>
      </c>
      <c r="G30" s="63" t="s">
        <v>83</v>
      </c>
      <c r="H30" s="73" t="s">
        <v>208</v>
      </c>
      <c r="I30" s="6"/>
      <c r="J30" s="6"/>
    </row>
    <row r="31" spans="1:10" s="39" customFormat="1" ht="30" customHeight="1">
      <c r="A31" s="296"/>
      <c r="B31" s="364"/>
      <c r="C31" s="374" t="s">
        <v>209</v>
      </c>
      <c r="D31" s="367"/>
      <c r="E31" s="74"/>
      <c r="F31" s="75"/>
      <c r="G31" s="75"/>
      <c r="H31" s="54" t="s">
        <v>210</v>
      </c>
      <c r="I31" s="6"/>
      <c r="J31" s="6"/>
    </row>
    <row r="32" spans="1:10" s="6" customFormat="1" ht="30" customHeight="1">
      <c r="A32" s="296"/>
      <c r="B32" s="364"/>
      <c r="C32" s="374" t="s">
        <v>211</v>
      </c>
      <c r="D32" s="367"/>
      <c r="E32" s="74"/>
      <c r="F32" s="75"/>
      <c r="G32" s="75"/>
      <c r="H32" s="54" t="s">
        <v>210</v>
      </c>
    </row>
    <row r="33" spans="1:10" s="6" customFormat="1" ht="30" customHeight="1">
      <c r="A33" s="296"/>
      <c r="B33" s="364"/>
      <c r="C33" s="374" t="s">
        <v>212</v>
      </c>
      <c r="D33" s="367"/>
      <c r="E33" s="74"/>
      <c r="F33" s="75"/>
      <c r="G33" s="75"/>
      <c r="H33" s="54" t="s">
        <v>210</v>
      </c>
    </row>
    <row r="34" spans="1:10" s="39" customFormat="1" ht="30" customHeight="1">
      <c r="A34" s="296"/>
      <c r="B34" s="364"/>
      <c r="C34" s="374" t="s">
        <v>213</v>
      </c>
      <c r="D34" s="367"/>
      <c r="E34" s="74"/>
      <c r="F34" s="75"/>
      <c r="G34" s="75"/>
      <c r="H34" s="54" t="s">
        <v>210</v>
      </c>
      <c r="I34" s="6"/>
      <c r="J34" s="6"/>
    </row>
    <row r="35" spans="1:10" s="39" customFormat="1" ht="30" customHeight="1">
      <c r="A35" s="296"/>
      <c r="B35" s="364"/>
      <c r="C35" s="362" t="s">
        <v>214</v>
      </c>
      <c r="D35" s="363"/>
      <c r="E35" s="68" t="s">
        <v>83</v>
      </c>
      <c r="F35" s="69" t="s">
        <v>83</v>
      </c>
      <c r="G35" s="69" t="s">
        <v>83</v>
      </c>
      <c r="H35" s="76" t="s">
        <v>208</v>
      </c>
      <c r="I35" s="6"/>
      <c r="J35" s="6"/>
    </row>
    <row r="36" spans="1:10" s="6" customFormat="1" ht="30" customHeight="1">
      <c r="A36" s="296"/>
      <c r="B36" s="400" t="s">
        <v>69</v>
      </c>
      <c r="C36" s="360" t="s">
        <v>215</v>
      </c>
      <c r="D36" s="361"/>
      <c r="E36" s="77"/>
      <c r="F36" s="78"/>
      <c r="G36" s="78"/>
      <c r="H36" s="57" t="s">
        <v>204</v>
      </c>
    </row>
    <row r="37" spans="1:10" s="39" customFormat="1" ht="30" customHeight="1">
      <c r="A37" s="296"/>
      <c r="B37" s="293"/>
      <c r="C37" s="384" t="s">
        <v>216</v>
      </c>
      <c r="D37" s="367"/>
      <c r="E37" s="65" t="s">
        <v>83</v>
      </c>
      <c r="F37" s="66" t="s">
        <v>83</v>
      </c>
      <c r="G37" s="66" t="s">
        <v>83</v>
      </c>
      <c r="H37" s="67" t="s">
        <v>197</v>
      </c>
      <c r="I37" s="6"/>
      <c r="J37" s="6"/>
    </row>
    <row r="38" spans="1:10" s="39" customFormat="1" ht="30" customHeight="1">
      <c r="A38" s="296"/>
      <c r="B38" s="293"/>
      <c r="C38" s="366" t="s">
        <v>217</v>
      </c>
      <c r="D38" s="367"/>
      <c r="E38" s="65"/>
      <c r="F38" s="66"/>
      <c r="G38" s="66"/>
      <c r="H38" s="67" t="s">
        <v>218</v>
      </c>
      <c r="I38" s="6"/>
      <c r="J38" s="6"/>
    </row>
    <row r="39" spans="1:10" s="39" customFormat="1" ht="30" customHeight="1">
      <c r="A39" s="296"/>
      <c r="B39" s="373"/>
      <c r="C39" s="393" t="s">
        <v>219</v>
      </c>
      <c r="D39" s="369"/>
      <c r="E39" s="79"/>
      <c r="F39" s="80"/>
      <c r="G39" s="80"/>
      <c r="H39" s="81" t="s">
        <v>186</v>
      </c>
      <c r="I39" s="6"/>
      <c r="J39" s="6"/>
    </row>
    <row r="40" spans="1:10" s="39" customFormat="1" ht="30" customHeight="1">
      <c r="A40" s="299"/>
      <c r="B40" s="82" t="s">
        <v>220</v>
      </c>
      <c r="C40" s="394" t="s">
        <v>221</v>
      </c>
      <c r="D40" s="395"/>
      <c r="E40" s="83" t="s">
        <v>83</v>
      </c>
      <c r="F40" s="84" t="s">
        <v>83</v>
      </c>
      <c r="G40" s="84" t="s">
        <v>83</v>
      </c>
      <c r="H40" s="85" t="s">
        <v>197</v>
      </c>
      <c r="I40" s="6"/>
    </row>
    <row r="41" spans="1:10" s="39" customFormat="1" ht="30" customHeight="1">
      <c r="A41" s="365" t="s">
        <v>222</v>
      </c>
      <c r="B41" s="372" t="s">
        <v>223</v>
      </c>
      <c r="C41" s="381" t="s">
        <v>224</v>
      </c>
      <c r="D41" s="361"/>
      <c r="E41" s="49" t="s">
        <v>36</v>
      </c>
      <c r="F41" s="50" t="s">
        <v>36</v>
      </c>
      <c r="G41" s="50" t="s">
        <v>36</v>
      </c>
      <c r="H41" s="38"/>
      <c r="I41" s="6"/>
      <c r="J41" s="6"/>
    </row>
    <row r="42" spans="1:10" s="39" customFormat="1" ht="30" customHeight="1">
      <c r="A42" s="296"/>
      <c r="B42" s="293"/>
      <c r="C42" s="366" t="s">
        <v>225</v>
      </c>
      <c r="D42" s="367"/>
      <c r="E42" s="40" t="s">
        <v>36</v>
      </c>
      <c r="F42" s="41" t="s">
        <v>36</v>
      </c>
      <c r="G42" s="41" t="s">
        <v>36</v>
      </c>
      <c r="H42" s="42"/>
      <c r="I42" s="6"/>
      <c r="J42" s="6"/>
    </row>
    <row r="43" spans="1:10" s="39" customFormat="1" ht="30" customHeight="1">
      <c r="A43" s="296"/>
      <c r="B43" s="293"/>
      <c r="C43" s="366" t="s">
        <v>226</v>
      </c>
      <c r="D43" s="367"/>
      <c r="E43" s="40" t="s">
        <v>36</v>
      </c>
      <c r="F43" s="41" t="s">
        <v>36</v>
      </c>
      <c r="G43" s="41" t="s">
        <v>36</v>
      </c>
      <c r="H43" s="42"/>
      <c r="I43" s="6"/>
      <c r="J43" s="6"/>
    </row>
    <row r="44" spans="1:10" s="39" customFormat="1" ht="30" customHeight="1">
      <c r="A44" s="296"/>
      <c r="B44" s="373"/>
      <c r="C44" s="43" t="s">
        <v>227</v>
      </c>
      <c r="D44" s="44"/>
      <c r="E44" s="86" t="s">
        <v>36</v>
      </c>
      <c r="F44" s="87" t="s">
        <v>36</v>
      </c>
      <c r="G44" s="87" t="s">
        <v>36</v>
      </c>
      <c r="H44" s="88"/>
      <c r="I44" s="6"/>
      <c r="J44" s="6"/>
    </row>
    <row r="45" spans="1:10" s="39" customFormat="1" ht="30" customHeight="1">
      <c r="A45" s="296"/>
      <c r="B45" s="398" t="s">
        <v>96</v>
      </c>
      <c r="C45" s="381" t="s">
        <v>228</v>
      </c>
      <c r="D45" s="361"/>
      <c r="E45" s="36" t="s">
        <v>36</v>
      </c>
      <c r="F45" s="37" t="s">
        <v>36</v>
      </c>
      <c r="G45" s="37" t="s">
        <v>36</v>
      </c>
      <c r="H45" s="38"/>
      <c r="I45" s="6"/>
      <c r="J45" s="6"/>
    </row>
    <row r="46" spans="1:10" s="39" customFormat="1" ht="30" customHeight="1" thickBot="1">
      <c r="A46" s="297"/>
      <c r="B46" s="399"/>
      <c r="C46" s="390" t="s">
        <v>229</v>
      </c>
      <c r="D46" s="391"/>
      <c r="E46" s="190" t="s">
        <v>36</v>
      </c>
      <c r="F46" s="191" t="s">
        <v>36</v>
      </c>
      <c r="G46" s="191" t="s">
        <v>36</v>
      </c>
      <c r="H46" s="192" t="s">
        <v>230</v>
      </c>
      <c r="I46" s="6"/>
      <c r="J46" s="6"/>
    </row>
    <row r="47" spans="1:10" s="39" customFormat="1" ht="30" customHeight="1">
      <c r="I47" s="6"/>
      <c r="J47" s="6"/>
    </row>
  </sheetData>
  <mergeCells count="57">
    <mergeCell ref="B45:B46"/>
    <mergeCell ref="B36:B39"/>
    <mergeCell ref="B23:B25"/>
    <mergeCell ref="C32:D32"/>
    <mergeCell ref="C38:D38"/>
    <mergeCell ref="B30:B35"/>
    <mergeCell ref="B41:B44"/>
    <mergeCell ref="C43:D43"/>
    <mergeCell ref="C45:D45"/>
    <mergeCell ref="B14:B16"/>
    <mergeCell ref="C28:D28"/>
    <mergeCell ref="C13:D13"/>
    <mergeCell ref="C18:D18"/>
    <mergeCell ref="B17:B18"/>
    <mergeCell ref="A19:A25"/>
    <mergeCell ref="C27:D27"/>
    <mergeCell ref="C36:D36"/>
    <mergeCell ref="A30:A40"/>
    <mergeCell ref="C42:D42"/>
    <mergeCell ref="A26:B27"/>
    <mergeCell ref="B19:B22"/>
    <mergeCell ref="C39:D39"/>
    <mergeCell ref="C41:D41"/>
    <mergeCell ref="C22:D22"/>
    <mergeCell ref="C40:D40"/>
    <mergeCell ref="C33:D33"/>
    <mergeCell ref="C19:D19"/>
    <mergeCell ref="C37:D37"/>
    <mergeCell ref="H5:H7"/>
    <mergeCell ref="C31:D31"/>
    <mergeCell ref="C11:D11"/>
    <mergeCell ref="C5:C7"/>
    <mergeCell ref="C8:D8"/>
    <mergeCell ref="C30:D30"/>
    <mergeCell ref="C24:D24"/>
    <mergeCell ref="C15:D15"/>
    <mergeCell ref="C17:D17"/>
    <mergeCell ref="C23:D23"/>
    <mergeCell ref="C14:D14"/>
    <mergeCell ref="C12:D12"/>
    <mergeCell ref="C21:D21"/>
    <mergeCell ref="A5:A7"/>
    <mergeCell ref="C26:D26"/>
    <mergeCell ref="C35:D35"/>
    <mergeCell ref="B5:B7"/>
    <mergeCell ref="A41:A46"/>
    <mergeCell ref="C20:D20"/>
    <mergeCell ref="C29:D29"/>
    <mergeCell ref="C10:D10"/>
    <mergeCell ref="C16:D16"/>
    <mergeCell ref="C25:D25"/>
    <mergeCell ref="A8:A18"/>
    <mergeCell ref="B8:B13"/>
    <mergeCell ref="C34:D34"/>
    <mergeCell ref="C9:D9"/>
    <mergeCell ref="A28:B29"/>
    <mergeCell ref="C46:D46"/>
  </mergeCells>
  <phoneticPr fontId="2" type="noConversion"/>
  <printOptions horizontalCentered="1"/>
  <pageMargins left="0.39370078740157483" right="0.39370078740157483" top="0.78740157480314965" bottom="0.39370078740157483" header="0.39370078740157483" footer="0.39370078740157483"/>
  <pageSetup paperSize="9" scale="5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46"/>
  <sheetViews>
    <sheetView showGridLines="0" view="pageBreakPreview" zoomScale="80" zoomScaleNormal="73" zoomScaleSheetLayoutView="80" workbookViewId="0">
      <pane ySplit="7" topLeftCell="A8" activePane="bottomLeft" state="frozen"/>
      <selection pane="bottomLeft" activeCell="Q5" sqref="Q5"/>
    </sheetView>
  </sheetViews>
  <sheetFormatPr defaultColWidth="10.23046875" defaultRowHeight="17.600000000000001"/>
  <cols>
    <col min="1" max="1" width="9.53515625" style="24" customWidth="1"/>
    <col min="2" max="2" width="15.69140625" style="24" customWidth="1"/>
    <col min="3" max="3" width="43.3828125" style="24" customWidth="1"/>
    <col min="4" max="4" width="13.3828125" style="24" customWidth="1"/>
    <col min="5" max="5" width="9.3828125" style="24" bestFit="1" customWidth="1"/>
    <col min="6" max="14" width="7.4609375" style="24" customWidth="1"/>
    <col min="15" max="15" width="29.53515625" style="24" customWidth="1"/>
    <col min="16" max="16" width="6.07421875" style="5" customWidth="1"/>
    <col min="17" max="17" width="10.23046875" style="5" customWidth="1"/>
    <col min="18" max="18" width="10.23046875" style="24" customWidth="1"/>
    <col min="19" max="16384" width="10.23046875" style="24"/>
  </cols>
  <sheetData>
    <row r="1" spans="1:21" s="21" customFormat="1" ht="50.05" customHeight="1">
      <c r="A1" s="19"/>
      <c r="B1" s="19"/>
      <c r="C1" s="19"/>
      <c r="D1" s="20"/>
      <c r="O1" s="22"/>
      <c r="P1" s="15"/>
      <c r="Q1" s="15"/>
      <c r="R1" s="15"/>
      <c r="S1" s="15"/>
      <c r="T1" s="15"/>
      <c r="U1" s="15"/>
    </row>
    <row r="2" spans="1:21" s="23" customFormat="1" ht="30" customHeight="1">
      <c r="O2" s="24"/>
      <c r="P2" s="25"/>
      <c r="Q2" s="25"/>
      <c r="R2" s="25"/>
      <c r="S2" s="25"/>
      <c r="T2" s="25"/>
      <c r="U2" s="25"/>
    </row>
    <row r="3" spans="1:21" s="26" customFormat="1" ht="30" customHeight="1">
      <c r="A3" s="151" t="s">
        <v>231</v>
      </c>
      <c r="B3" s="125"/>
      <c r="C3" s="125"/>
      <c r="D3" s="246"/>
      <c r="E3" s="246"/>
      <c r="F3" s="246"/>
      <c r="G3" s="403" t="s">
        <v>319</v>
      </c>
      <c r="H3" s="403"/>
      <c r="I3" s="402" t="s">
        <v>317</v>
      </c>
      <c r="J3" s="402"/>
      <c r="K3" s="402"/>
      <c r="L3" s="402"/>
      <c r="M3" s="402" t="s">
        <v>320</v>
      </c>
      <c r="N3" s="402"/>
      <c r="O3" s="283" t="s">
        <v>324</v>
      </c>
    </row>
    <row r="4" spans="1:21" s="22" customFormat="1" ht="10" customHeight="1" thickBot="1">
      <c r="A4" s="27"/>
      <c r="P4" s="28"/>
      <c r="Q4" s="28"/>
    </row>
    <row r="5" spans="1:21" s="31" customFormat="1" ht="34" customHeight="1">
      <c r="A5" s="304" t="s">
        <v>77</v>
      </c>
      <c r="B5" s="300" t="s">
        <v>78</v>
      </c>
      <c r="C5" s="378" t="s">
        <v>79</v>
      </c>
      <c r="D5" s="29" t="s">
        <v>173</v>
      </c>
      <c r="E5" s="29" t="s">
        <v>232</v>
      </c>
      <c r="F5" s="29" t="s">
        <v>233</v>
      </c>
      <c r="G5" s="29" t="s">
        <v>234</v>
      </c>
      <c r="H5" s="29" t="s">
        <v>235</v>
      </c>
      <c r="I5" s="29" t="s">
        <v>236</v>
      </c>
      <c r="J5" s="29" t="s">
        <v>237</v>
      </c>
      <c r="K5" s="29" t="s">
        <v>238</v>
      </c>
      <c r="L5" s="29" t="s">
        <v>239</v>
      </c>
      <c r="M5" s="29" t="s">
        <v>240</v>
      </c>
      <c r="N5" s="29" t="s">
        <v>241</v>
      </c>
      <c r="O5" s="375" t="s">
        <v>14</v>
      </c>
      <c r="P5" s="30"/>
      <c r="Q5" s="30"/>
      <c r="R5" s="26"/>
    </row>
    <row r="6" spans="1:21" s="31" customFormat="1" ht="34" customHeight="1">
      <c r="A6" s="296"/>
      <c r="B6" s="364"/>
      <c r="C6" s="379"/>
      <c r="D6" s="32" t="s">
        <v>174</v>
      </c>
      <c r="E6" s="407">
        <v>3</v>
      </c>
      <c r="F6" s="405"/>
      <c r="G6" s="405"/>
      <c r="H6" s="405"/>
      <c r="I6" s="405"/>
      <c r="J6" s="405"/>
      <c r="K6" s="405"/>
      <c r="L6" s="405"/>
      <c r="M6" s="405"/>
      <c r="N6" s="406"/>
      <c r="O6" s="376"/>
      <c r="P6" s="30"/>
      <c r="Q6" s="30"/>
    </row>
    <row r="7" spans="1:21" s="31" customFormat="1" ht="34" customHeight="1">
      <c r="A7" s="299"/>
      <c r="B7" s="308"/>
      <c r="C7" s="380"/>
      <c r="D7" s="32" t="s">
        <v>175</v>
      </c>
      <c r="E7" s="404" t="str" cm="1">
        <f t="array" ref="E7">_xlfn.TEXTJOIN(",",TRUE,IF(근무표_점검팀!F6:F35&lt;&gt;"",DAY(근무표_점검팀!A6:A35),""))&amp;"일"</f>
        <v>일</v>
      </c>
      <c r="F7" s="405"/>
      <c r="G7" s="405"/>
      <c r="H7" s="405"/>
      <c r="I7" s="405"/>
      <c r="J7" s="405"/>
      <c r="K7" s="405"/>
      <c r="L7" s="405"/>
      <c r="M7" s="405"/>
      <c r="N7" s="406"/>
      <c r="O7" s="377"/>
      <c r="P7" s="30"/>
      <c r="Q7" s="30"/>
    </row>
    <row r="8" spans="1:21" s="39" customFormat="1" ht="34" customHeight="1">
      <c r="A8" s="371" t="s">
        <v>57</v>
      </c>
      <c r="B8" s="372" t="s">
        <v>176</v>
      </c>
      <c r="C8" s="381" t="s">
        <v>177</v>
      </c>
      <c r="D8" s="361"/>
      <c r="E8" s="36" t="s">
        <v>36</v>
      </c>
      <c r="F8" s="37" t="s">
        <v>36</v>
      </c>
      <c r="G8" s="36" t="s">
        <v>36</v>
      </c>
      <c r="H8" s="37" t="s">
        <v>36</v>
      </c>
      <c r="I8" s="37" t="s">
        <v>36</v>
      </c>
      <c r="J8" s="37" t="s">
        <v>36</v>
      </c>
      <c r="K8" s="36" t="s">
        <v>36</v>
      </c>
      <c r="L8" s="37" t="s">
        <v>36</v>
      </c>
      <c r="M8" s="37" t="s">
        <v>36</v>
      </c>
      <c r="N8" s="37" t="s">
        <v>36</v>
      </c>
      <c r="O8" s="38"/>
      <c r="P8" s="6"/>
      <c r="Q8" s="6"/>
    </row>
    <row r="9" spans="1:21" s="39" customFormat="1" ht="34" customHeight="1">
      <c r="A9" s="296"/>
      <c r="B9" s="293"/>
      <c r="C9" s="366" t="s">
        <v>178</v>
      </c>
      <c r="D9" s="367"/>
      <c r="E9" s="40" t="s">
        <v>36</v>
      </c>
      <c r="F9" s="41" t="s">
        <v>36</v>
      </c>
      <c r="G9" s="40" t="s">
        <v>36</v>
      </c>
      <c r="H9" s="41" t="s">
        <v>36</v>
      </c>
      <c r="I9" s="41" t="s">
        <v>36</v>
      </c>
      <c r="J9" s="41" t="s">
        <v>36</v>
      </c>
      <c r="K9" s="40" t="s">
        <v>36</v>
      </c>
      <c r="L9" s="41" t="s">
        <v>36</v>
      </c>
      <c r="M9" s="41" t="s">
        <v>36</v>
      </c>
      <c r="N9" s="41" t="s">
        <v>36</v>
      </c>
      <c r="O9" s="42"/>
      <c r="P9" s="6"/>
      <c r="Q9" s="6"/>
    </row>
    <row r="10" spans="1:21" s="39" customFormat="1" ht="34" customHeight="1">
      <c r="A10" s="296"/>
      <c r="B10" s="293"/>
      <c r="C10" s="366" t="s">
        <v>179</v>
      </c>
      <c r="D10" s="367"/>
      <c r="E10" s="40" t="s">
        <v>36</v>
      </c>
      <c r="F10" s="41" t="s">
        <v>36</v>
      </c>
      <c r="G10" s="40" t="s">
        <v>36</v>
      </c>
      <c r="H10" s="41" t="s">
        <v>36</v>
      </c>
      <c r="I10" s="41" t="s">
        <v>36</v>
      </c>
      <c r="J10" s="41" t="s">
        <v>36</v>
      </c>
      <c r="K10" s="40" t="s">
        <v>36</v>
      </c>
      <c r="L10" s="41" t="s">
        <v>36</v>
      </c>
      <c r="M10" s="41" t="s">
        <v>36</v>
      </c>
      <c r="N10" s="41" t="s">
        <v>36</v>
      </c>
      <c r="O10" s="42"/>
      <c r="P10" s="6"/>
      <c r="Q10" s="6"/>
    </row>
    <row r="11" spans="1:21" s="39" customFormat="1" ht="34" customHeight="1">
      <c r="A11" s="296"/>
      <c r="B11" s="293"/>
      <c r="C11" s="366" t="s">
        <v>180</v>
      </c>
      <c r="D11" s="367"/>
      <c r="E11" s="40" t="s">
        <v>36</v>
      </c>
      <c r="F11" s="41" t="s">
        <v>36</v>
      </c>
      <c r="G11" s="40" t="s">
        <v>36</v>
      </c>
      <c r="H11" s="41" t="s">
        <v>36</v>
      </c>
      <c r="I11" s="41" t="s">
        <v>36</v>
      </c>
      <c r="J11" s="41" t="s">
        <v>36</v>
      </c>
      <c r="K11" s="40" t="s">
        <v>36</v>
      </c>
      <c r="L11" s="41" t="s">
        <v>36</v>
      </c>
      <c r="M11" s="41" t="s">
        <v>36</v>
      </c>
      <c r="N11" s="41" t="s">
        <v>36</v>
      </c>
      <c r="O11" s="42"/>
      <c r="P11" s="6"/>
      <c r="Q11" s="6"/>
    </row>
    <row r="12" spans="1:21" s="39" customFormat="1" ht="34" customHeight="1">
      <c r="A12" s="296"/>
      <c r="B12" s="293"/>
      <c r="C12" s="366" t="s">
        <v>181</v>
      </c>
      <c r="D12" s="367"/>
      <c r="E12" s="40" t="s">
        <v>36</v>
      </c>
      <c r="F12" s="41" t="s">
        <v>36</v>
      </c>
      <c r="G12" s="40" t="s">
        <v>36</v>
      </c>
      <c r="H12" s="41" t="s">
        <v>36</v>
      </c>
      <c r="I12" s="41" t="s">
        <v>36</v>
      </c>
      <c r="J12" s="41" t="s">
        <v>36</v>
      </c>
      <c r="K12" s="40" t="s">
        <v>36</v>
      </c>
      <c r="L12" s="41" t="s">
        <v>36</v>
      </c>
      <c r="M12" s="41" t="s">
        <v>36</v>
      </c>
      <c r="N12" s="41" t="s">
        <v>36</v>
      </c>
      <c r="O12" s="42"/>
      <c r="P12" s="6"/>
      <c r="Q12" s="6"/>
    </row>
    <row r="13" spans="1:21" s="39" customFormat="1" ht="34" customHeight="1">
      <c r="A13" s="296"/>
      <c r="B13" s="373"/>
      <c r="C13" s="368" t="s">
        <v>182</v>
      </c>
      <c r="D13" s="369"/>
      <c r="E13" s="45" t="s">
        <v>36</v>
      </c>
      <c r="F13" s="46" t="s">
        <v>36</v>
      </c>
      <c r="G13" s="45" t="s">
        <v>36</v>
      </c>
      <c r="H13" s="46" t="s">
        <v>36</v>
      </c>
      <c r="I13" s="46" t="s">
        <v>36</v>
      </c>
      <c r="J13" s="46" t="s">
        <v>36</v>
      </c>
      <c r="K13" s="45" t="s">
        <v>36</v>
      </c>
      <c r="L13" s="46" t="s">
        <v>36</v>
      </c>
      <c r="M13" s="46" t="s">
        <v>36</v>
      </c>
      <c r="N13" s="46" t="s">
        <v>36</v>
      </c>
      <c r="O13" s="48"/>
      <c r="P13" s="6"/>
      <c r="Q13" s="6"/>
    </row>
    <row r="14" spans="1:21" s="39" customFormat="1" ht="34" customHeight="1">
      <c r="A14" s="296"/>
      <c r="B14" s="396" t="s">
        <v>183</v>
      </c>
      <c r="C14" s="381" t="s">
        <v>184</v>
      </c>
      <c r="D14" s="361"/>
      <c r="E14" s="49" t="s">
        <v>242</v>
      </c>
      <c r="F14" s="50" t="s">
        <v>242</v>
      </c>
      <c r="G14" s="49" t="s">
        <v>242</v>
      </c>
      <c r="H14" s="89" t="s">
        <v>242</v>
      </c>
      <c r="I14" s="89" t="s">
        <v>242</v>
      </c>
      <c r="J14" s="50" t="s">
        <v>242</v>
      </c>
      <c r="K14" s="49" t="s">
        <v>242</v>
      </c>
      <c r="L14" s="50" t="s">
        <v>242</v>
      </c>
      <c r="M14" s="50" t="s">
        <v>242</v>
      </c>
      <c r="N14" s="50" t="s">
        <v>242</v>
      </c>
      <c r="O14" s="38" t="s">
        <v>243</v>
      </c>
      <c r="P14" s="6"/>
      <c r="Q14" s="6"/>
    </row>
    <row r="15" spans="1:21" s="39" customFormat="1" ht="34" customHeight="1">
      <c r="A15" s="296"/>
      <c r="B15" s="293"/>
      <c r="C15" s="374" t="s">
        <v>185</v>
      </c>
      <c r="D15" s="367"/>
      <c r="E15" s="52" t="s">
        <v>242</v>
      </c>
      <c r="F15" s="53" t="s">
        <v>242</v>
      </c>
      <c r="G15" s="91" t="s">
        <v>242</v>
      </c>
      <c r="H15" s="93" t="s">
        <v>242</v>
      </c>
      <c r="I15" s="94" t="s">
        <v>242</v>
      </c>
      <c r="J15" s="53" t="s">
        <v>242</v>
      </c>
      <c r="K15" s="52" t="s">
        <v>242</v>
      </c>
      <c r="L15" s="53" t="s">
        <v>242</v>
      </c>
      <c r="M15" s="95" t="s">
        <v>242</v>
      </c>
      <c r="N15" s="53" t="s">
        <v>242</v>
      </c>
      <c r="O15" s="54" t="s">
        <v>243</v>
      </c>
      <c r="P15" s="6"/>
      <c r="Q15" s="6"/>
    </row>
    <row r="16" spans="1:21" s="39" customFormat="1" ht="34" customHeight="1">
      <c r="A16" s="296"/>
      <c r="B16" s="373"/>
      <c r="C16" s="368" t="s">
        <v>187</v>
      </c>
      <c r="D16" s="369"/>
      <c r="E16" s="45" t="s">
        <v>242</v>
      </c>
      <c r="F16" s="46" t="s">
        <v>242</v>
      </c>
      <c r="G16" s="45" t="s">
        <v>242</v>
      </c>
      <c r="H16" s="92" t="s">
        <v>242</v>
      </c>
      <c r="I16" s="92" t="s">
        <v>242</v>
      </c>
      <c r="J16" s="46" t="s">
        <v>242</v>
      </c>
      <c r="K16" s="45" t="s">
        <v>242</v>
      </c>
      <c r="L16" s="46" t="s">
        <v>242</v>
      </c>
      <c r="M16" s="46" t="s">
        <v>242</v>
      </c>
      <c r="N16" s="46" t="s">
        <v>242</v>
      </c>
      <c r="O16" s="48" t="s">
        <v>243</v>
      </c>
      <c r="P16" s="6"/>
      <c r="Q16" s="6"/>
    </row>
    <row r="17" spans="1:17" s="39" customFormat="1" ht="34" customHeight="1">
      <c r="A17" s="296"/>
      <c r="B17" s="397" t="s">
        <v>188</v>
      </c>
      <c r="C17" s="381" t="s">
        <v>189</v>
      </c>
      <c r="D17" s="361"/>
      <c r="E17" s="49" t="s">
        <v>242</v>
      </c>
      <c r="F17" s="50" t="s">
        <v>242</v>
      </c>
      <c r="G17" s="49" t="s">
        <v>242</v>
      </c>
      <c r="H17" s="50" t="s">
        <v>242</v>
      </c>
      <c r="I17" s="50" t="s">
        <v>242</v>
      </c>
      <c r="J17" s="50" t="s">
        <v>242</v>
      </c>
      <c r="K17" s="49" t="s">
        <v>242</v>
      </c>
      <c r="L17" s="50" t="s">
        <v>242</v>
      </c>
      <c r="M17" s="50" t="s">
        <v>242</v>
      </c>
      <c r="N17" s="50" t="s">
        <v>242</v>
      </c>
      <c r="O17" s="38" t="s">
        <v>243</v>
      </c>
      <c r="P17" s="6"/>
      <c r="Q17" s="6"/>
    </row>
    <row r="18" spans="1:17" s="39" customFormat="1" ht="34" customHeight="1">
      <c r="A18" s="299"/>
      <c r="B18" s="308"/>
      <c r="C18" s="368" t="s">
        <v>190</v>
      </c>
      <c r="D18" s="369"/>
      <c r="E18" s="45" t="s">
        <v>242</v>
      </c>
      <c r="F18" s="46" t="s">
        <v>242</v>
      </c>
      <c r="G18" s="45" t="s">
        <v>242</v>
      </c>
      <c r="H18" s="46" t="s">
        <v>242</v>
      </c>
      <c r="I18" s="46" t="s">
        <v>242</v>
      </c>
      <c r="J18" s="46" t="s">
        <v>242</v>
      </c>
      <c r="K18" s="45" t="s">
        <v>242</v>
      </c>
      <c r="L18" s="46" t="s">
        <v>242</v>
      </c>
      <c r="M18" s="46" t="s">
        <v>242</v>
      </c>
      <c r="N18" s="46" t="s">
        <v>242</v>
      </c>
      <c r="O18" s="48" t="s">
        <v>243</v>
      </c>
      <c r="P18" s="6"/>
      <c r="Q18" s="6"/>
    </row>
    <row r="19" spans="1:17" s="59" customFormat="1" ht="34" customHeight="1">
      <c r="A19" s="392" t="s">
        <v>52</v>
      </c>
      <c r="B19" s="372" t="s">
        <v>191</v>
      </c>
      <c r="C19" s="360" t="s">
        <v>192</v>
      </c>
      <c r="D19" s="361"/>
      <c r="E19" s="55"/>
      <c r="F19" s="56"/>
      <c r="G19" s="55"/>
      <c r="H19" s="56"/>
      <c r="I19" s="56"/>
      <c r="J19" s="56"/>
      <c r="K19" s="55"/>
      <c r="L19" s="56"/>
      <c r="M19" s="56"/>
      <c r="N19" s="56"/>
      <c r="O19" s="57" t="s">
        <v>186</v>
      </c>
      <c r="P19" s="58"/>
      <c r="Q19" s="58"/>
    </row>
    <row r="20" spans="1:17" s="59" customFormat="1" ht="34" customHeight="1">
      <c r="A20" s="296"/>
      <c r="B20" s="293"/>
      <c r="C20" s="366" t="s">
        <v>193</v>
      </c>
      <c r="D20" s="367"/>
      <c r="E20" s="40" t="s">
        <v>36</v>
      </c>
      <c r="F20" s="41" t="s">
        <v>36</v>
      </c>
      <c r="G20" s="40" t="s">
        <v>36</v>
      </c>
      <c r="H20" s="41" t="s">
        <v>36</v>
      </c>
      <c r="I20" s="41" t="s">
        <v>36</v>
      </c>
      <c r="J20" s="41" t="s">
        <v>36</v>
      </c>
      <c r="K20" s="40" t="s">
        <v>36</v>
      </c>
      <c r="L20" s="41" t="s">
        <v>36</v>
      </c>
      <c r="M20" s="41" t="s">
        <v>36</v>
      </c>
      <c r="N20" s="41" t="s">
        <v>36</v>
      </c>
      <c r="O20" s="60"/>
      <c r="P20" s="61"/>
      <c r="Q20" s="58"/>
    </row>
    <row r="21" spans="1:17" s="59" customFormat="1" ht="34" customHeight="1">
      <c r="A21" s="296"/>
      <c r="B21" s="293"/>
      <c r="C21" s="366" t="s">
        <v>194</v>
      </c>
      <c r="D21" s="367"/>
      <c r="E21" s="40" t="s">
        <v>36</v>
      </c>
      <c r="F21" s="41" t="s">
        <v>36</v>
      </c>
      <c r="G21" s="40" t="s">
        <v>36</v>
      </c>
      <c r="H21" s="41" t="s">
        <v>36</v>
      </c>
      <c r="I21" s="41" t="s">
        <v>36</v>
      </c>
      <c r="J21" s="41" t="s">
        <v>36</v>
      </c>
      <c r="K21" s="40" t="s">
        <v>36</v>
      </c>
      <c r="L21" s="41" t="s">
        <v>36</v>
      </c>
      <c r="M21" s="41" t="s">
        <v>36</v>
      </c>
      <c r="N21" s="41" t="s">
        <v>36</v>
      </c>
      <c r="O21" s="60"/>
      <c r="P21" s="58"/>
      <c r="Q21" s="58"/>
    </row>
    <row r="22" spans="1:17" s="39" customFormat="1" ht="34" customHeight="1">
      <c r="A22" s="296"/>
      <c r="B22" s="373"/>
      <c r="C22" s="368" t="s">
        <v>195</v>
      </c>
      <c r="D22" s="369"/>
      <c r="E22" s="45" t="s">
        <v>36</v>
      </c>
      <c r="F22" s="46" t="s">
        <v>36</v>
      </c>
      <c r="G22" s="45" t="s">
        <v>36</v>
      </c>
      <c r="H22" s="46" t="s">
        <v>36</v>
      </c>
      <c r="I22" s="46" t="s">
        <v>36</v>
      </c>
      <c r="J22" s="46" t="s">
        <v>36</v>
      </c>
      <c r="K22" s="45" t="s">
        <v>36</v>
      </c>
      <c r="L22" s="46" t="s">
        <v>36</v>
      </c>
      <c r="M22" s="46" t="s">
        <v>36</v>
      </c>
      <c r="N22" s="46" t="s">
        <v>36</v>
      </c>
      <c r="O22" s="48"/>
      <c r="P22" s="6"/>
      <c r="Q22" s="6"/>
    </row>
    <row r="23" spans="1:17" s="39" customFormat="1" ht="34" customHeight="1">
      <c r="A23" s="296"/>
      <c r="B23" s="372" t="s">
        <v>64</v>
      </c>
      <c r="C23" s="385" t="s">
        <v>196</v>
      </c>
      <c r="D23" s="361"/>
      <c r="E23" s="62" t="s">
        <v>83</v>
      </c>
      <c r="F23" s="63"/>
      <c r="G23" s="62"/>
      <c r="H23" s="63" t="s">
        <v>83</v>
      </c>
      <c r="I23" s="63" t="s">
        <v>83</v>
      </c>
      <c r="J23" s="63"/>
      <c r="K23" s="62"/>
      <c r="L23" s="63"/>
      <c r="M23" s="63"/>
      <c r="N23" s="63"/>
      <c r="O23" s="64" t="s">
        <v>197</v>
      </c>
      <c r="P23" s="6"/>
      <c r="Q23" s="6"/>
    </row>
    <row r="24" spans="1:17" s="39" customFormat="1" ht="34" customHeight="1">
      <c r="A24" s="296"/>
      <c r="B24" s="293"/>
      <c r="C24" s="384" t="s">
        <v>198</v>
      </c>
      <c r="D24" s="367"/>
      <c r="E24" s="65" t="s">
        <v>83</v>
      </c>
      <c r="F24" s="66" t="s">
        <v>83</v>
      </c>
      <c r="G24" s="65" t="s">
        <v>83</v>
      </c>
      <c r="H24" s="66" t="s">
        <v>83</v>
      </c>
      <c r="I24" s="66" t="s">
        <v>83</v>
      </c>
      <c r="J24" s="66" t="s">
        <v>83</v>
      </c>
      <c r="K24" s="65" t="s">
        <v>83</v>
      </c>
      <c r="L24" s="66" t="s">
        <v>83</v>
      </c>
      <c r="M24" s="66" t="s">
        <v>83</v>
      </c>
      <c r="N24" s="66" t="s">
        <v>83</v>
      </c>
      <c r="O24" s="67" t="s">
        <v>197</v>
      </c>
      <c r="P24" s="6"/>
      <c r="Q24" s="6"/>
    </row>
    <row r="25" spans="1:17" s="39" customFormat="1" ht="34" customHeight="1">
      <c r="A25" s="299"/>
      <c r="B25" s="373"/>
      <c r="C25" s="370" t="s">
        <v>199</v>
      </c>
      <c r="D25" s="369"/>
      <c r="E25" s="68" t="s">
        <v>83</v>
      </c>
      <c r="F25" s="69" t="s">
        <v>83</v>
      </c>
      <c r="G25" s="68" t="s">
        <v>83</v>
      </c>
      <c r="H25" s="69" t="s">
        <v>83</v>
      </c>
      <c r="I25" s="69" t="s">
        <v>83</v>
      </c>
      <c r="J25" s="69" t="s">
        <v>83</v>
      </c>
      <c r="K25" s="68" t="s">
        <v>83</v>
      </c>
      <c r="L25" s="69" t="s">
        <v>83</v>
      </c>
      <c r="M25" s="69" t="s">
        <v>83</v>
      </c>
      <c r="N25" s="69" t="s">
        <v>83</v>
      </c>
      <c r="O25" s="70" t="s">
        <v>197</v>
      </c>
      <c r="P25" s="6"/>
      <c r="Q25" s="6"/>
    </row>
    <row r="26" spans="1:17" s="39" customFormat="1" ht="34" customHeight="1">
      <c r="A26" s="386" t="s">
        <v>200</v>
      </c>
      <c r="B26" s="387"/>
      <c r="C26" s="360" t="s">
        <v>201</v>
      </c>
      <c r="D26" s="361"/>
      <c r="E26" s="77"/>
      <c r="F26" s="90"/>
      <c r="G26" s="77"/>
      <c r="H26" s="78"/>
      <c r="I26" s="78"/>
      <c r="J26" s="90"/>
      <c r="K26" s="77"/>
      <c r="L26" s="78"/>
      <c r="M26" s="78"/>
      <c r="N26" s="90"/>
      <c r="O26" s="57" t="s">
        <v>202</v>
      </c>
      <c r="P26" s="6"/>
      <c r="Q26" s="6" t="s">
        <v>244</v>
      </c>
    </row>
    <row r="27" spans="1:17" s="59" customFormat="1" ht="34" customHeight="1">
      <c r="A27" s="388"/>
      <c r="B27" s="389"/>
      <c r="C27" s="393" t="s">
        <v>203</v>
      </c>
      <c r="D27" s="369"/>
      <c r="E27" s="79"/>
      <c r="F27" s="71"/>
      <c r="G27" s="79"/>
      <c r="H27" s="80"/>
      <c r="I27" s="80"/>
      <c r="J27" s="71"/>
      <c r="K27" s="79"/>
      <c r="L27" s="80"/>
      <c r="M27" s="80"/>
      <c r="N27" s="71"/>
      <c r="O27" s="81" t="s">
        <v>204</v>
      </c>
      <c r="P27" s="58"/>
      <c r="Q27" s="58"/>
    </row>
    <row r="28" spans="1:17" s="39" customFormat="1" ht="34" customHeight="1">
      <c r="A28" s="386" t="s">
        <v>72</v>
      </c>
      <c r="B28" s="387"/>
      <c r="C28" s="381" t="s">
        <v>205</v>
      </c>
      <c r="D28" s="361"/>
      <c r="E28" s="49"/>
      <c r="F28" s="51"/>
      <c r="G28" s="49" t="s">
        <v>36</v>
      </c>
      <c r="H28" s="50" t="s">
        <v>36</v>
      </c>
      <c r="I28" s="50"/>
      <c r="J28" s="51"/>
      <c r="K28" s="49"/>
      <c r="L28" s="50"/>
      <c r="M28" s="50"/>
      <c r="N28" s="51"/>
      <c r="O28" s="38"/>
      <c r="P28" s="6"/>
      <c r="Q28" s="6"/>
    </row>
    <row r="29" spans="1:17" s="59" customFormat="1" ht="34" customHeight="1">
      <c r="A29" s="388"/>
      <c r="B29" s="389"/>
      <c r="C29" s="368" t="s">
        <v>206</v>
      </c>
      <c r="D29" s="369"/>
      <c r="E29" s="45"/>
      <c r="F29" s="47"/>
      <c r="G29" s="45" t="s">
        <v>36</v>
      </c>
      <c r="H29" s="46" t="s">
        <v>36</v>
      </c>
      <c r="I29" s="46"/>
      <c r="J29" s="47"/>
      <c r="K29" s="45"/>
      <c r="L29" s="46"/>
      <c r="M29" s="46"/>
      <c r="N29" s="47"/>
      <c r="O29" s="72"/>
      <c r="P29" s="58"/>
      <c r="Q29" s="58"/>
    </row>
    <row r="30" spans="1:17" s="39" customFormat="1" ht="34" customHeight="1">
      <c r="A30" s="371" t="s">
        <v>63</v>
      </c>
      <c r="B30" s="401" t="s">
        <v>66</v>
      </c>
      <c r="C30" s="382" t="s">
        <v>207</v>
      </c>
      <c r="D30" s="383"/>
      <c r="E30" s="62" t="s">
        <v>242</v>
      </c>
      <c r="F30" s="63" t="s">
        <v>242</v>
      </c>
      <c r="G30" s="62" t="s">
        <v>242</v>
      </c>
      <c r="H30" s="63" t="s">
        <v>242</v>
      </c>
      <c r="I30" s="63" t="s">
        <v>242</v>
      </c>
      <c r="J30" s="63" t="s">
        <v>242</v>
      </c>
      <c r="K30" s="62" t="s">
        <v>242</v>
      </c>
      <c r="L30" s="63" t="s">
        <v>242</v>
      </c>
      <c r="M30" s="63" t="s">
        <v>242</v>
      </c>
      <c r="N30" s="63" t="s">
        <v>242</v>
      </c>
      <c r="O30" s="73" t="s">
        <v>243</v>
      </c>
      <c r="P30" s="6"/>
      <c r="Q30" s="6"/>
    </row>
    <row r="31" spans="1:17" s="6" customFormat="1" ht="34" customHeight="1">
      <c r="A31" s="296"/>
      <c r="B31" s="364"/>
      <c r="C31" s="374" t="s">
        <v>211</v>
      </c>
      <c r="D31" s="367"/>
      <c r="E31" s="74" t="s">
        <v>242</v>
      </c>
      <c r="F31" s="75" t="s">
        <v>242</v>
      </c>
      <c r="G31" s="74" t="s">
        <v>242</v>
      </c>
      <c r="H31" s="75" t="s">
        <v>242</v>
      </c>
      <c r="I31" s="75" t="s">
        <v>242</v>
      </c>
      <c r="J31" s="75" t="s">
        <v>242</v>
      </c>
      <c r="K31" s="74" t="s">
        <v>242</v>
      </c>
      <c r="L31" s="75" t="s">
        <v>242</v>
      </c>
      <c r="M31" s="75" t="s">
        <v>242</v>
      </c>
      <c r="N31" s="75" t="s">
        <v>242</v>
      </c>
      <c r="O31" s="54" t="s">
        <v>243</v>
      </c>
    </row>
    <row r="32" spans="1:17" s="6" customFormat="1" ht="34" customHeight="1">
      <c r="A32" s="296"/>
      <c r="B32" s="364"/>
      <c r="C32" s="374" t="s">
        <v>212</v>
      </c>
      <c r="D32" s="367"/>
      <c r="E32" s="74" t="s">
        <v>242</v>
      </c>
      <c r="F32" s="75" t="s">
        <v>242</v>
      </c>
      <c r="G32" s="74" t="s">
        <v>242</v>
      </c>
      <c r="H32" s="75" t="s">
        <v>242</v>
      </c>
      <c r="I32" s="75" t="s">
        <v>242</v>
      </c>
      <c r="J32" s="75" t="s">
        <v>242</v>
      </c>
      <c r="K32" s="74" t="s">
        <v>242</v>
      </c>
      <c r="L32" s="75" t="s">
        <v>242</v>
      </c>
      <c r="M32" s="75" t="s">
        <v>242</v>
      </c>
      <c r="N32" s="75" t="s">
        <v>242</v>
      </c>
      <c r="O32" s="54" t="s">
        <v>243</v>
      </c>
    </row>
    <row r="33" spans="1:17" s="39" customFormat="1" ht="34" customHeight="1">
      <c r="A33" s="296"/>
      <c r="B33" s="364"/>
      <c r="C33" s="374" t="s">
        <v>213</v>
      </c>
      <c r="D33" s="367"/>
      <c r="E33" s="74" t="s">
        <v>242</v>
      </c>
      <c r="F33" s="75" t="s">
        <v>242</v>
      </c>
      <c r="G33" s="74" t="s">
        <v>242</v>
      </c>
      <c r="H33" s="75" t="s">
        <v>242</v>
      </c>
      <c r="I33" s="75" t="s">
        <v>242</v>
      </c>
      <c r="J33" s="75" t="s">
        <v>242</v>
      </c>
      <c r="K33" s="74" t="s">
        <v>242</v>
      </c>
      <c r="L33" s="75" t="s">
        <v>242</v>
      </c>
      <c r="M33" s="75" t="s">
        <v>242</v>
      </c>
      <c r="N33" s="75" t="s">
        <v>242</v>
      </c>
      <c r="O33" s="54" t="s">
        <v>243</v>
      </c>
      <c r="P33" s="6"/>
      <c r="Q33" s="6"/>
    </row>
    <row r="34" spans="1:17" s="39" customFormat="1" ht="34" customHeight="1">
      <c r="A34" s="296"/>
      <c r="B34" s="364"/>
      <c r="C34" s="362" t="s">
        <v>214</v>
      </c>
      <c r="D34" s="363"/>
      <c r="E34" s="68" t="s">
        <v>242</v>
      </c>
      <c r="F34" s="69" t="s">
        <v>242</v>
      </c>
      <c r="G34" s="68" t="s">
        <v>242</v>
      </c>
      <c r="H34" s="69" t="s">
        <v>242</v>
      </c>
      <c r="I34" s="69" t="s">
        <v>242</v>
      </c>
      <c r="J34" s="69" t="s">
        <v>242</v>
      </c>
      <c r="K34" s="68" t="s">
        <v>242</v>
      </c>
      <c r="L34" s="69" t="s">
        <v>242</v>
      </c>
      <c r="M34" s="69" t="s">
        <v>242</v>
      </c>
      <c r="N34" s="69" t="s">
        <v>242</v>
      </c>
      <c r="O34" s="76" t="s">
        <v>243</v>
      </c>
      <c r="P34" s="6"/>
      <c r="Q34" s="6"/>
    </row>
    <row r="35" spans="1:17" s="6" customFormat="1" ht="34" customHeight="1">
      <c r="A35" s="296"/>
      <c r="B35" s="400" t="s">
        <v>69</v>
      </c>
      <c r="C35" s="360" t="s">
        <v>215</v>
      </c>
      <c r="D35" s="361"/>
      <c r="E35" s="77"/>
      <c r="F35" s="78"/>
      <c r="G35" s="77"/>
      <c r="H35" s="78"/>
      <c r="I35" s="78"/>
      <c r="J35" s="78"/>
      <c r="K35" s="77"/>
      <c r="L35" s="78"/>
      <c r="M35" s="78"/>
      <c r="N35" s="78"/>
      <c r="O35" s="57" t="s">
        <v>204</v>
      </c>
    </row>
    <row r="36" spans="1:17" s="39" customFormat="1" ht="34" customHeight="1">
      <c r="A36" s="296"/>
      <c r="B36" s="293"/>
      <c r="C36" s="384" t="s">
        <v>216</v>
      </c>
      <c r="D36" s="367"/>
      <c r="E36" s="65" t="s">
        <v>83</v>
      </c>
      <c r="F36" s="66"/>
      <c r="G36" s="65"/>
      <c r="H36" s="66" t="s">
        <v>83</v>
      </c>
      <c r="I36" s="66" t="s">
        <v>83</v>
      </c>
      <c r="J36" s="66"/>
      <c r="K36" s="65"/>
      <c r="L36" s="66"/>
      <c r="M36" s="66"/>
      <c r="N36" s="66"/>
      <c r="O36" s="67" t="s">
        <v>197</v>
      </c>
      <c r="P36" s="6"/>
      <c r="Q36" s="6"/>
    </row>
    <row r="37" spans="1:17" s="39" customFormat="1" ht="34" customHeight="1">
      <c r="A37" s="296"/>
      <c r="B37" s="293"/>
      <c r="C37" s="366" t="s">
        <v>217</v>
      </c>
      <c r="D37" s="367"/>
      <c r="E37" s="65"/>
      <c r="F37" s="66"/>
      <c r="G37" s="65"/>
      <c r="H37" s="66"/>
      <c r="I37" s="66"/>
      <c r="J37" s="66"/>
      <c r="K37" s="65"/>
      <c r="L37" s="66"/>
      <c r="M37" s="66"/>
      <c r="N37" s="66"/>
      <c r="O37" s="67" t="s">
        <v>218</v>
      </c>
      <c r="P37" s="6"/>
      <c r="Q37" s="6"/>
    </row>
    <row r="38" spans="1:17" s="39" customFormat="1" ht="34" customHeight="1">
      <c r="A38" s="296"/>
      <c r="B38" s="373"/>
      <c r="C38" s="393" t="s">
        <v>219</v>
      </c>
      <c r="D38" s="369"/>
      <c r="E38" s="79"/>
      <c r="F38" s="80"/>
      <c r="G38" s="79"/>
      <c r="H38" s="80"/>
      <c r="I38" s="80"/>
      <c r="J38" s="80"/>
      <c r="K38" s="79"/>
      <c r="L38" s="80"/>
      <c r="M38" s="80"/>
      <c r="N38" s="80"/>
      <c r="O38" s="81" t="s">
        <v>186</v>
      </c>
      <c r="P38" s="6"/>
      <c r="Q38" s="6"/>
    </row>
    <row r="39" spans="1:17" s="39" customFormat="1" ht="34" customHeight="1">
      <c r="A39" s="299"/>
      <c r="B39" s="82" t="s">
        <v>220</v>
      </c>
      <c r="C39" s="394" t="s">
        <v>221</v>
      </c>
      <c r="D39" s="395"/>
      <c r="E39" s="83" t="s">
        <v>83</v>
      </c>
      <c r="F39" s="84"/>
      <c r="G39" s="83"/>
      <c r="H39" s="84" t="s">
        <v>83</v>
      </c>
      <c r="I39" s="84" t="s">
        <v>83</v>
      </c>
      <c r="J39" s="84"/>
      <c r="K39" s="83"/>
      <c r="L39" s="84"/>
      <c r="M39" s="84"/>
      <c r="N39" s="84"/>
      <c r="O39" s="85" t="s">
        <v>197</v>
      </c>
      <c r="P39" s="6"/>
    </row>
    <row r="40" spans="1:17" s="39" customFormat="1" ht="34" customHeight="1">
      <c r="A40" s="365" t="s">
        <v>222</v>
      </c>
      <c r="B40" s="372" t="s">
        <v>223</v>
      </c>
      <c r="C40" s="381" t="s">
        <v>224</v>
      </c>
      <c r="D40" s="361"/>
      <c r="E40" s="49" t="s">
        <v>242</v>
      </c>
      <c r="F40" s="50" t="s">
        <v>242</v>
      </c>
      <c r="G40" s="49" t="s">
        <v>242</v>
      </c>
      <c r="H40" s="50" t="s">
        <v>242</v>
      </c>
      <c r="I40" s="50" t="s">
        <v>242</v>
      </c>
      <c r="J40" s="50" t="s">
        <v>242</v>
      </c>
      <c r="K40" s="49" t="s">
        <v>242</v>
      </c>
      <c r="L40" s="50" t="s">
        <v>242</v>
      </c>
      <c r="M40" s="50" t="s">
        <v>242</v>
      </c>
      <c r="N40" s="50" t="s">
        <v>242</v>
      </c>
      <c r="O40" s="38" t="s">
        <v>243</v>
      </c>
      <c r="P40" s="6"/>
      <c r="Q40" s="6"/>
    </row>
    <row r="41" spans="1:17" s="39" customFormat="1" ht="34" customHeight="1">
      <c r="A41" s="296"/>
      <c r="B41" s="293"/>
      <c r="C41" s="366" t="s">
        <v>225</v>
      </c>
      <c r="D41" s="367"/>
      <c r="E41" s="40" t="s">
        <v>242</v>
      </c>
      <c r="F41" s="41" t="s">
        <v>242</v>
      </c>
      <c r="G41" s="40" t="s">
        <v>242</v>
      </c>
      <c r="H41" s="41" t="s">
        <v>242</v>
      </c>
      <c r="I41" s="41" t="s">
        <v>242</v>
      </c>
      <c r="J41" s="41" t="s">
        <v>242</v>
      </c>
      <c r="K41" s="40" t="s">
        <v>242</v>
      </c>
      <c r="L41" s="41" t="s">
        <v>242</v>
      </c>
      <c r="M41" s="41" t="s">
        <v>242</v>
      </c>
      <c r="N41" s="41" t="s">
        <v>242</v>
      </c>
      <c r="O41" s="42" t="s">
        <v>243</v>
      </c>
      <c r="P41" s="6"/>
      <c r="Q41" s="6"/>
    </row>
    <row r="42" spans="1:17" s="39" customFormat="1" ht="34" customHeight="1">
      <c r="A42" s="296"/>
      <c r="B42" s="293"/>
      <c r="C42" s="366" t="s">
        <v>226</v>
      </c>
      <c r="D42" s="367"/>
      <c r="E42" s="40" t="s">
        <v>242</v>
      </c>
      <c r="F42" s="41" t="s">
        <v>242</v>
      </c>
      <c r="G42" s="40" t="s">
        <v>242</v>
      </c>
      <c r="H42" s="41" t="s">
        <v>242</v>
      </c>
      <c r="I42" s="41" t="s">
        <v>242</v>
      </c>
      <c r="J42" s="41" t="s">
        <v>242</v>
      </c>
      <c r="K42" s="40" t="s">
        <v>242</v>
      </c>
      <c r="L42" s="41" t="s">
        <v>242</v>
      </c>
      <c r="M42" s="41" t="s">
        <v>242</v>
      </c>
      <c r="N42" s="41" t="s">
        <v>242</v>
      </c>
      <c r="O42" s="42" t="s">
        <v>243</v>
      </c>
      <c r="P42" s="6"/>
      <c r="Q42" s="6"/>
    </row>
    <row r="43" spans="1:17" s="39" customFormat="1" ht="34" customHeight="1">
      <c r="A43" s="296"/>
      <c r="B43" s="373"/>
      <c r="C43" s="43" t="s">
        <v>227</v>
      </c>
      <c r="D43" s="44"/>
      <c r="E43" s="86" t="s">
        <v>242</v>
      </c>
      <c r="F43" s="87" t="s">
        <v>242</v>
      </c>
      <c r="G43" s="86" t="s">
        <v>242</v>
      </c>
      <c r="H43" s="87" t="s">
        <v>242</v>
      </c>
      <c r="I43" s="87" t="s">
        <v>242</v>
      </c>
      <c r="J43" s="87" t="s">
        <v>242</v>
      </c>
      <c r="K43" s="86" t="s">
        <v>242</v>
      </c>
      <c r="L43" s="87" t="s">
        <v>242</v>
      </c>
      <c r="M43" s="87" t="s">
        <v>242</v>
      </c>
      <c r="N43" s="87" t="s">
        <v>242</v>
      </c>
      <c r="O43" s="88" t="s">
        <v>243</v>
      </c>
      <c r="P43" s="6"/>
      <c r="Q43" s="6"/>
    </row>
    <row r="44" spans="1:17" s="39" customFormat="1" ht="34" customHeight="1">
      <c r="A44" s="296"/>
      <c r="B44" s="398" t="s">
        <v>96</v>
      </c>
      <c r="C44" s="381" t="s">
        <v>228</v>
      </c>
      <c r="D44" s="361"/>
      <c r="E44" s="36" t="s">
        <v>242</v>
      </c>
      <c r="F44" s="37" t="s">
        <v>242</v>
      </c>
      <c r="G44" s="36" t="s">
        <v>242</v>
      </c>
      <c r="H44" s="37" t="s">
        <v>242</v>
      </c>
      <c r="I44" s="37" t="s">
        <v>242</v>
      </c>
      <c r="J44" s="37" t="s">
        <v>242</v>
      </c>
      <c r="K44" s="36" t="s">
        <v>242</v>
      </c>
      <c r="L44" s="37" t="s">
        <v>242</v>
      </c>
      <c r="M44" s="37" t="s">
        <v>242</v>
      </c>
      <c r="N44" s="37" t="s">
        <v>242</v>
      </c>
      <c r="O44" s="38" t="s">
        <v>243</v>
      </c>
      <c r="P44" s="6"/>
      <c r="Q44" s="6"/>
    </row>
    <row r="45" spans="1:17" s="39" customFormat="1" ht="34" customHeight="1" thickBot="1">
      <c r="A45" s="297"/>
      <c r="B45" s="399"/>
      <c r="C45" s="390" t="s">
        <v>229</v>
      </c>
      <c r="D45" s="391"/>
      <c r="E45" s="190" t="s">
        <v>36</v>
      </c>
      <c r="F45" s="191" t="s">
        <v>36</v>
      </c>
      <c r="G45" s="190" t="s">
        <v>36</v>
      </c>
      <c r="H45" s="191" t="s">
        <v>36</v>
      </c>
      <c r="I45" s="191" t="s">
        <v>36</v>
      </c>
      <c r="J45" s="191" t="s">
        <v>36</v>
      </c>
      <c r="K45" s="190" t="s">
        <v>36</v>
      </c>
      <c r="L45" s="191" t="s">
        <v>36</v>
      </c>
      <c r="M45" s="191" t="s">
        <v>36</v>
      </c>
      <c r="N45" s="191" t="s">
        <v>36</v>
      </c>
      <c r="O45" s="192" t="s">
        <v>245</v>
      </c>
      <c r="P45" s="6"/>
      <c r="Q45" s="6"/>
    </row>
    <row r="46" spans="1:17" s="39" customFormat="1" ht="30" customHeight="1">
      <c r="P46" s="6"/>
      <c r="Q46" s="6"/>
    </row>
  </sheetData>
  <mergeCells count="61">
    <mergeCell ref="O5:O7"/>
    <mergeCell ref="E6:N6"/>
    <mergeCell ref="C14:D14"/>
    <mergeCell ref="C9:D9"/>
    <mergeCell ref="C8:D8"/>
    <mergeCell ref="C12:D12"/>
    <mergeCell ref="C38:D38"/>
    <mergeCell ref="C19:D19"/>
    <mergeCell ref="C37:D37"/>
    <mergeCell ref="B14:B16"/>
    <mergeCell ref="C34:D34"/>
    <mergeCell ref="C31:D31"/>
    <mergeCell ref="B19:B22"/>
    <mergeCell ref="A28:B29"/>
    <mergeCell ref="C21:D21"/>
    <mergeCell ref="A19:A25"/>
    <mergeCell ref="C27:D27"/>
    <mergeCell ref="B17:B18"/>
    <mergeCell ref="A5:A7"/>
    <mergeCell ref="E7:N7"/>
    <mergeCell ref="C26:D26"/>
    <mergeCell ref="C35:D35"/>
    <mergeCell ref="B5:B7"/>
    <mergeCell ref="C20:D20"/>
    <mergeCell ref="A30:A39"/>
    <mergeCell ref="C10:D10"/>
    <mergeCell ref="C16:D16"/>
    <mergeCell ref="B30:B34"/>
    <mergeCell ref="C29:D29"/>
    <mergeCell ref="C25:D25"/>
    <mergeCell ref="A8:A18"/>
    <mergeCell ref="B8:B13"/>
    <mergeCell ref="C13:D13"/>
    <mergeCell ref="A40:A45"/>
    <mergeCell ref="A26:B27"/>
    <mergeCell ref="C30:D30"/>
    <mergeCell ref="C24:D24"/>
    <mergeCell ref="C45:D45"/>
    <mergeCell ref="C44:D44"/>
    <mergeCell ref="C28:D28"/>
    <mergeCell ref="C40:D40"/>
    <mergeCell ref="B44:B45"/>
    <mergeCell ref="B40:B43"/>
    <mergeCell ref="C42:D42"/>
    <mergeCell ref="C41:D41"/>
    <mergeCell ref="B35:B38"/>
    <mergeCell ref="C33:D33"/>
    <mergeCell ref="C39:D39"/>
    <mergeCell ref="B23:B25"/>
    <mergeCell ref="M3:N3"/>
    <mergeCell ref="I3:L3"/>
    <mergeCell ref="G3:H3"/>
    <mergeCell ref="C36:D36"/>
    <mergeCell ref="C17:D17"/>
    <mergeCell ref="C18:D18"/>
    <mergeCell ref="C23:D23"/>
    <mergeCell ref="C15:D15"/>
    <mergeCell ref="C22:D22"/>
    <mergeCell ref="C32:D32"/>
    <mergeCell ref="C11:D11"/>
    <mergeCell ref="C5:C7"/>
  </mergeCells>
  <phoneticPr fontId="2" type="noConversion"/>
  <printOptions horizontalCentered="1"/>
  <pageMargins left="0.39370078740157483" right="0.39370078740157483" top="0.78740157480314965" bottom="0.39370078740157483" header="0.39370078740157483" footer="0.39370078740157483"/>
  <pageSetup paperSize="9" scale="5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A78B-0EA1-4C79-AB8C-839F5A4E96C6}">
  <sheetPr>
    <pageSetUpPr fitToPage="1"/>
  </sheetPr>
  <dimension ref="A1:N46"/>
  <sheetViews>
    <sheetView showGridLines="0" view="pageBreakPreview" zoomScale="80" zoomScaleNormal="73" zoomScaleSheetLayoutView="80" workbookViewId="0">
      <pane ySplit="7" topLeftCell="A8" activePane="bottomLeft" state="frozen"/>
      <selection pane="bottomLeft" activeCell="I10" sqref="I10"/>
    </sheetView>
  </sheetViews>
  <sheetFormatPr defaultColWidth="10.23046875" defaultRowHeight="17.600000000000001"/>
  <cols>
    <col min="1" max="1" width="9.53515625" style="244" customWidth="1"/>
    <col min="2" max="2" width="15.69140625" style="244" customWidth="1"/>
    <col min="3" max="3" width="43.3828125" style="244" customWidth="1"/>
    <col min="4" max="4" width="13.3828125" style="244" customWidth="1"/>
    <col min="5" max="5" width="18.69140625" style="244" customWidth="1"/>
    <col min="6" max="6" width="24.69140625" style="244" customWidth="1"/>
    <col min="7" max="7" width="20.23046875" style="244" customWidth="1"/>
    <col min="8" max="8" width="29.53515625" style="244" customWidth="1"/>
    <col min="9" max="10" width="10.23046875" style="275"/>
    <col min="11" max="16384" width="10.23046875" style="244"/>
  </cols>
  <sheetData>
    <row r="1" spans="1:14" s="240" customFormat="1" ht="50.05" customHeight="1">
      <c r="A1" s="238"/>
      <c r="B1" s="238"/>
      <c r="C1" s="238"/>
      <c r="D1" s="239"/>
      <c r="H1" s="241"/>
      <c r="I1" s="242"/>
      <c r="J1" s="242"/>
      <c r="K1" s="242"/>
      <c r="L1" s="242"/>
      <c r="M1" s="242"/>
      <c r="N1" s="242"/>
    </row>
    <row r="2" spans="1:14" s="243" customFormat="1" ht="30" customHeight="1">
      <c r="H2" s="244"/>
      <c r="I2" s="245"/>
      <c r="J2" s="245"/>
      <c r="K2" s="245"/>
      <c r="L2" s="245"/>
      <c r="M2" s="245"/>
      <c r="N2" s="245"/>
    </row>
    <row r="3" spans="1:14" s="26" customFormat="1" ht="30" customHeight="1">
      <c r="A3" s="151" t="s">
        <v>172</v>
      </c>
      <c r="B3" s="125"/>
      <c r="C3" s="125"/>
      <c r="D3" s="246"/>
      <c r="E3" s="250" t="s">
        <v>319</v>
      </c>
      <c r="F3" s="430" t="s">
        <v>318</v>
      </c>
      <c r="G3" s="282" t="s">
        <v>320</v>
      </c>
      <c r="H3" s="281" t="s">
        <v>316</v>
      </c>
    </row>
    <row r="4" spans="1:14" s="241" customFormat="1" ht="10" customHeight="1">
      <c r="A4" s="247"/>
      <c r="I4" s="248"/>
      <c r="J4" s="248"/>
    </row>
    <row r="5" spans="1:14" s="251" customFormat="1" ht="30" customHeight="1">
      <c r="A5" s="408" t="s">
        <v>77</v>
      </c>
      <c r="B5" s="410" t="s">
        <v>78</v>
      </c>
      <c r="C5" s="410" t="s">
        <v>79</v>
      </c>
      <c r="D5" s="249" t="s">
        <v>246</v>
      </c>
      <c r="E5" s="249" t="s">
        <v>247</v>
      </c>
      <c r="F5" s="249" t="s">
        <v>248</v>
      </c>
      <c r="G5" s="249" t="s">
        <v>249</v>
      </c>
      <c r="H5" s="412" t="s">
        <v>250</v>
      </c>
      <c r="I5" s="250"/>
      <c r="J5" s="250"/>
      <c r="K5" s="246"/>
    </row>
    <row r="6" spans="1:14" s="251" customFormat="1" ht="30" customHeight="1">
      <c r="A6" s="409"/>
      <c r="B6" s="411"/>
      <c r="C6" s="411"/>
      <c r="D6" s="252" t="s">
        <v>251</v>
      </c>
      <c r="E6" s="252">
        <v>2</v>
      </c>
      <c r="F6" s="252">
        <v>4</v>
      </c>
      <c r="G6" s="252">
        <v>2</v>
      </c>
      <c r="H6" s="413"/>
      <c r="I6" s="250"/>
      <c r="J6" s="250"/>
    </row>
    <row r="7" spans="1:14" s="251" customFormat="1" ht="30" customHeight="1">
      <c r="A7" s="409"/>
      <c r="B7" s="411"/>
      <c r="C7" s="411"/>
      <c r="D7" s="252" t="s">
        <v>252</v>
      </c>
      <c r="E7" s="253" t="str" cm="1">
        <f t="array" ref="E7">_xlfn.TEXTJOIN(",",TRUE,IF(근무표_점검팀!E6:E35="흥해",DAY(근무표_점검팀!A6:A35),""))&amp;"일"</f>
        <v>일</v>
      </c>
      <c r="F7" s="253" t="str" cm="1">
        <f t="array" ref="F7">_xlfn.TEXTJOIN(",",TRUE,IF(근무표_점검팀!E6:E35="청하",DAY(근무표_점검팀!A6:A35),""))&amp;"일"</f>
        <v>일</v>
      </c>
      <c r="G7" s="253" t="str" cm="1">
        <f t="array" ref="G7">_xlfn.TEXTJOIN(",",TRUE,IF(근무표_점검팀!E6:E35="남정5",DAY(근무표_점검팀!A6:A35),""))&amp;"일"</f>
        <v>일</v>
      </c>
      <c r="H7" s="413"/>
      <c r="I7" s="250"/>
      <c r="J7" s="250"/>
    </row>
    <row r="8" spans="1:14" s="257" customFormat="1" ht="30" customHeight="1">
      <c r="A8" s="420" t="s">
        <v>253</v>
      </c>
      <c r="B8" s="418" t="s">
        <v>176</v>
      </c>
      <c r="C8" s="414" t="s">
        <v>177</v>
      </c>
      <c r="D8" s="414"/>
      <c r="E8" s="254" t="s">
        <v>36</v>
      </c>
      <c r="F8" s="254" t="s">
        <v>254</v>
      </c>
      <c r="G8" s="254" t="s">
        <v>254</v>
      </c>
      <c r="H8" s="255"/>
      <c r="I8" s="256"/>
      <c r="J8" s="256"/>
    </row>
    <row r="9" spans="1:14" s="257" customFormat="1" ht="30" customHeight="1">
      <c r="A9" s="420"/>
      <c r="B9" s="418"/>
      <c r="C9" s="414" t="s">
        <v>178</v>
      </c>
      <c r="D9" s="414"/>
      <c r="E9" s="254" t="s">
        <v>36</v>
      </c>
      <c r="F9" s="254" t="s">
        <v>36</v>
      </c>
      <c r="G9" s="254" t="s">
        <v>36</v>
      </c>
      <c r="H9" s="255"/>
      <c r="I9" s="256"/>
      <c r="J9" s="256"/>
    </row>
    <row r="10" spans="1:14" s="257" customFormat="1" ht="30" customHeight="1">
      <c r="A10" s="420"/>
      <c r="B10" s="418"/>
      <c r="C10" s="414" t="s">
        <v>255</v>
      </c>
      <c r="D10" s="414"/>
      <c r="E10" s="254" t="s">
        <v>36</v>
      </c>
      <c r="F10" s="254" t="s">
        <v>36</v>
      </c>
      <c r="G10" s="254" t="s">
        <v>36</v>
      </c>
      <c r="H10" s="255"/>
      <c r="I10" s="256"/>
      <c r="J10" s="256"/>
    </row>
    <row r="11" spans="1:14" s="257" customFormat="1" ht="30" customHeight="1">
      <c r="A11" s="420"/>
      <c r="B11" s="418"/>
      <c r="C11" s="414" t="s">
        <v>256</v>
      </c>
      <c r="D11" s="414"/>
      <c r="E11" s="254" t="s">
        <v>36</v>
      </c>
      <c r="F11" s="254" t="s">
        <v>36</v>
      </c>
      <c r="G11" s="254" t="s">
        <v>36</v>
      </c>
      <c r="H11" s="255"/>
      <c r="I11" s="256"/>
      <c r="J11" s="256"/>
    </row>
    <row r="12" spans="1:14" s="257" customFormat="1" ht="30" customHeight="1">
      <c r="A12" s="420"/>
      <c r="B12" s="418"/>
      <c r="C12" s="414" t="s">
        <v>257</v>
      </c>
      <c r="D12" s="414"/>
      <c r="E12" s="254" t="s">
        <v>36</v>
      </c>
      <c r="F12" s="254" t="s">
        <v>36</v>
      </c>
      <c r="G12" s="254" t="s">
        <v>36</v>
      </c>
      <c r="H12" s="255"/>
      <c r="I12" s="256"/>
      <c r="J12" s="256"/>
    </row>
    <row r="13" spans="1:14" s="257" customFormat="1" ht="30" customHeight="1">
      <c r="A13" s="420"/>
      <c r="B13" s="418"/>
      <c r="C13" s="414" t="s">
        <v>258</v>
      </c>
      <c r="D13" s="414"/>
      <c r="E13" s="254" t="s">
        <v>254</v>
      </c>
      <c r="F13" s="254" t="s">
        <v>254</v>
      </c>
      <c r="G13" s="254" t="s">
        <v>254</v>
      </c>
      <c r="H13" s="255"/>
      <c r="I13" s="256"/>
      <c r="J13" s="256"/>
    </row>
    <row r="14" spans="1:14" s="257" customFormat="1" ht="30" customHeight="1">
      <c r="A14" s="420"/>
      <c r="B14" s="415" t="s">
        <v>259</v>
      </c>
      <c r="C14" s="414" t="s">
        <v>260</v>
      </c>
      <c r="D14" s="414"/>
      <c r="E14" s="254" t="s">
        <v>254</v>
      </c>
      <c r="F14" s="254" t="s">
        <v>36</v>
      </c>
      <c r="G14" s="254" t="s">
        <v>36</v>
      </c>
      <c r="H14" s="255"/>
      <c r="I14" s="256"/>
      <c r="J14" s="256"/>
    </row>
    <row r="15" spans="1:14" s="257" customFormat="1" ht="30" customHeight="1">
      <c r="A15" s="420"/>
      <c r="B15" s="416"/>
      <c r="C15" s="417" t="s">
        <v>261</v>
      </c>
      <c r="D15" s="417"/>
      <c r="E15" s="258" t="s">
        <v>262</v>
      </c>
      <c r="F15" s="259" t="s">
        <v>262</v>
      </c>
      <c r="G15" s="259" t="s">
        <v>262</v>
      </c>
      <c r="H15" s="260" t="s">
        <v>186</v>
      </c>
      <c r="I15" s="256"/>
      <c r="J15" s="256"/>
    </row>
    <row r="16" spans="1:14" s="257" customFormat="1" ht="30" customHeight="1">
      <c r="A16" s="420"/>
      <c r="B16" s="416"/>
      <c r="C16" s="414" t="s">
        <v>263</v>
      </c>
      <c r="D16" s="414"/>
      <c r="E16" s="254" t="s">
        <v>254</v>
      </c>
      <c r="F16" s="254" t="s">
        <v>36</v>
      </c>
      <c r="G16" s="254" t="s">
        <v>36</v>
      </c>
      <c r="H16" s="255"/>
      <c r="I16" s="256"/>
      <c r="J16" s="256"/>
    </row>
    <row r="17" spans="1:10" s="257" customFormat="1" ht="30" customHeight="1">
      <c r="A17" s="420"/>
      <c r="B17" s="419" t="s">
        <v>264</v>
      </c>
      <c r="C17" s="414" t="s">
        <v>189</v>
      </c>
      <c r="D17" s="414"/>
      <c r="E17" s="254" t="s">
        <v>254</v>
      </c>
      <c r="F17" s="254" t="s">
        <v>36</v>
      </c>
      <c r="G17" s="254" t="s">
        <v>36</v>
      </c>
      <c r="H17" s="255"/>
      <c r="I17" s="256"/>
      <c r="J17" s="256"/>
    </row>
    <row r="18" spans="1:10" s="257" customFormat="1" ht="30" customHeight="1">
      <c r="A18" s="420"/>
      <c r="B18" s="419"/>
      <c r="C18" s="414" t="s">
        <v>190</v>
      </c>
      <c r="D18" s="414"/>
      <c r="E18" s="254" t="s">
        <v>254</v>
      </c>
      <c r="F18" s="254" t="s">
        <v>36</v>
      </c>
      <c r="G18" s="254" t="s">
        <v>36</v>
      </c>
      <c r="H18" s="255"/>
      <c r="I18" s="256"/>
      <c r="J18" s="256"/>
    </row>
    <row r="19" spans="1:10" s="262" customFormat="1" ht="30" customHeight="1">
      <c r="A19" s="420" t="s">
        <v>265</v>
      </c>
      <c r="B19" s="418" t="s">
        <v>266</v>
      </c>
      <c r="C19" s="417" t="s">
        <v>267</v>
      </c>
      <c r="D19" s="417"/>
      <c r="E19" s="259" t="s">
        <v>262</v>
      </c>
      <c r="F19" s="259" t="s">
        <v>262</v>
      </c>
      <c r="G19" s="259" t="s">
        <v>262</v>
      </c>
      <c r="H19" s="260" t="s">
        <v>186</v>
      </c>
      <c r="I19" s="261"/>
      <c r="J19" s="261"/>
    </row>
    <row r="20" spans="1:10" s="262" customFormat="1" ht="30" customHeight="1">
      <c r="A20" s="420"/>
      <c r="B20" s="418"/>
      <c r="C20" s="414" t="s">
        <v>268</v>
      </c>
      <c r="D20" s="414"/>
      <c r="E20" s="254" t="s">
        <v>36</v>
      </c>
      <c r="F20" s="254" t="s">
        <v>36</v>
      </c>
      <c r="G20" s="254" t="s">
        <v>36</v>
      </c>
      <c r="H20" s="263"/>
      <c r="I20" s="264"/>
      <c r="J20" s="261"/>
    </row>
    <row r="21" spans="1:10" s="262" customFormat="1" ht="30" customHeight="1">
      <c r="A21" s="420"/>
      <c r="B21" s="418"/>
      <c r="C21" s="414" t="s">
        <v>269</v>
      </c>
      <c r="D21" s="414"/>
      <c r="E21" s="254" t="s">
        <v>36</v>
      </c>
      <c r="F21" s="254" t="s">
        <v>36</v>
      </c>
      <c r="G21" s="254" t="s">
        <v>36</v>
      </c>
      <c r="H21" s="263"/>
      <c r="I21" s="261"/>
      <c r="J21" s="261"/>
    </row>
    <row r="22" spans="1:10" s="257" customFormat="1" ht="30" customHeight="1">
      <c r="A22" s="420"/>
      <c r="B22" s="418"/>
      <c r="C22" s="414" t="s">
        <v>270</v>
      </c>
      <c r="D22" s="414"/>
      <c r="E22" s="254" t="s">
        <v>36</v>
      </c>
      <c r="F22" s="254" t="s">
        <v>36</v>
      </c>
      <c r="G22" s="254" t="s">
        <v>36</v>
      </c>
      <c r="H22" s="255"/>
      <c r="I22" s="256"/>
      <c r="J22" s="256"/>
    </row>
    <row r="23" spans="1:10" s="257" customFormat="1" ht="30" customHeight="1">
      <c r="A23" s="420"/>
      <c r="B23" s="418" t="s">
        <v>271</v>
      </c>
      <c r="C23" s="421" t="s">
        <v>272</v>
      </c>
      <c r="D23" s="421"/>
      <c r="E23" s="265" t="s">
        <v>254</v>
      </c>
      <c r="F23" s="265" t="s">
        <v>254</v>
      </c>
      <c r="G23" s="265" t="s">
        <v>254</v>
      </c>
      <c r="H23" s="266" t="s">
        <v>197</v>
      </c>
      <c r="I23" s="256"/>
      <c r="J23" s="256"/>
    </row>
    <row r="24" spans="1:10" s="257" customFormat="1" ht="30" customHeight="1">
      <c r="A24" s="420"/>
      <c r="B24" s="418"/>
      <c r="C24" s="421" t="s">
        <v>273</v>
      </c>
      <c r="D24" s="421"/>
      <c r="E24" s="265" t="s">
        <v>254</v>
      </c>
      <c r="F24" s="265" t="s">
        <v>254</v>
      </c>
      <c r="G24" s="265" t="s">
        <v>254</v>
      </c>
      <c r="H24" s="266" t="s">
        <v>197</v>
      </c>
      <c r="I24" s="256"/>
      <c r="J24" s="256"/>
    </row>
    <row r="25" spans="1:10" s="257" customFormat="1" ht="30" customHeight="1">
      <c r="A25" s="420"/>
      <c r="B25" s="418"/>
      <c r="C25" s="421" t="s">
        <v>274</v>
      </c>
      <c r="D25" s="421"/>
      <c r="E25" s="265" t="s">
        <v>254</v>
      </c>
      <c r="F25" s="265" t="s">
        <v>254</v>
      </c>
      <c r="G25" s="265" t="s">
        <v>254</v>
      </c>
      <c r="H25" s="266" t="s">
        <v>197</v>
      </c>
      <c r="I25" s="256"/>
      <c r="J25" s="256"/>
    </row>
    <row r="26" spans="1:10" s="257" customFormat="1" ht="30" customHeight="1">
      <c r="A26" s="422" t="s">
        <v>275</v>
      </c>
      <c r="B26" s="418"/>
      <c r="C26" s="417" t="s">
        <v>276</v>
      </c>
      <c r="D26" s="417"/>
      <c r="E26" s="267" t="s">
        <v>277</v>
      </c>
      <c r="F26" s="267" t="s">
        <v>277</v>
      </c>
      <c r="G26" s="268" t="s">
        <v>277</v>
      </c>
      <c r="H26" s="260" t="s">
        <v>278</v>
      </c>
      <c r="I26" s="256"/>
      <c r="J26" s="256"/>
    </row>
    <row r="27" spans="1:10" s="262" customFormat="1" ht="30" customHeight="1">
      <c r="A27" s="422"/>
      <c r="B27" s="418"/>
      <c r="C27" s="417" t="s">
        <v>279</v>
      </c>
      <c r="D27" s="417"/>
      <c r="E27" s="267" t="s">
        <v>277</v>
      </c>
      <c r="F27" s="267" t="s">
        <v>277</v>
      </c>
      <c r="G27" s="268" t="s">
        <v>277</v>
      </c>
      <c r="H27" s="260" t="s">
        <v>278</v>
      </c>
      <c r="I27" s="261"/>
      <c r="J27" s="261"/>
    </row>
    <row r="28" spans="1:10" s="257" customFormat="1" ht="30" customHeight="1">
      <c r="A28" s="422" t="s">
        <v>280</v>
      </c>
      <c r="B28" s="418"/>
      <c r="C28" s="414" t="s">
        <v>281</v>
      </c>
      <c r="D28" s="414"/>
      <c r="E28" s="254" t="s">
        <v>254</v>
      </c>
      <c r="F28" s="254" t="s">
        <v>254</v>
      </c>
      <c r="G28" s="269" t="s">
        <v>254</v>
      </c>
      <c r="H28" s="255"/>
      <c r="I28" s="256"/>
      <c r="J28" s="256"/>
    </row>
    <row r="29" spans="1:10" s="262" customFormat="1" ht="30" customHeight="1">
      <c r="A29" s="422"/>
      <c r="B29" s="418"/>
      <c r="C29" s="414" t="s">
        <v>282</v>
      </c>
      <c r="D29" s="414"/>
      <c r="E29" s="254" t="s">
        <v>254</v>
      </c>
      <c r="F29" s="254" t="s">
        <v>36</v>
      </c>
      <c r="G29" s="269" t="s">
        <v>254</v>
      </c>
      <c r="H29" s="263"/>
      <c r="I29" s="261"/>
      <c r="J29" s="261"/>
    </row>
    <row r="30" spans="1:10" s="257" customFormat="1" ht="30" customHeight="1">
      <c r="A30" s="420" t="s">
        <v>283</v>
      </c>
      <c r="B30" s="423" t="s">
        <v>284</v>
      </c>
      <c r="C30" s="421" t="s">
        <v>285</v>
      </c>
      <c r="D30" s="421"/>
      <c r="E30" s="265" t="s">
        <v>254</v>
      </c>
      <c r="F30" s="265" t="s">
        <v>254</v>
      </c>
      <c r="G30" s="265" t="s">
        <v>254</v>
      </c>
      <c r="H30" s="266" t="s">
        <v>208</v>
      </c>
      <c r="I30" s="256"/>
      <c r="J30" s="256"/>
    </row>
    <row r="31" spans="1:10" s="256" customFormat="1" ht="30" customHeight="1">
      <c r="A31" s="420"/>
      <c r="B31" s="423"/>
      <c r="C31" s="417" t="s">
        <v>286</v>
      </c>
      <c r="D31" s="417"/>
      <c r="E31" s="258" t="s">
        <v>262</v>
      </c>
      <c r="F31" s="258" t="s">
        <v>262</v>
      </c>
      <c r="G31" s="258" t="s">
        <v>262</v>
      </c>
      <c r="H31" s="260" t="s">
        <v>210</v>
      </c>
    </row>
    <row r="32" spans="1:10" s="256" customFormat="1" ht="30" customHeight="1">
      <c r="A32" s="420"/>
      <c r="B32" s="423"/>
      <c r="C32" s="417" t="s">
        <v>287</v>
      </c>
      <c r="D32" s="417"/>
      <c r="E32" s="258" t="s">
        <v>262</v>
      </c>
      <c r="F32" s="258" t="s">
        <v>262</v>
      </c>
      <c r="G32" s="258" t="s">
        <v>262</v>
      </c>
      <c r="H32" s="260" t="s">
        <v>288</v>
      </c>
    </row>
    <row r="33" spans="1:10" s="257" customFormat="1" ht="30" customHeight="1">
      <c r="A33" s="420"/>
      <c r="B33" s="423"/>
      <c r="C33" s="417" t="s">
        <v>289</v>
      </c>
      <c r="D33" s="417"/>
      <c r="E33" s="258" t="s">
        <v>262</v>
      </c>
      <c r="F33" s="258" t="s">
        <v>262</v>
      </c>
      <c r="G33" s="258" t="s">
        <v>262</v>
      </c>
      <c r="H33" s="260" t="s">
        <v>210</v>
      </c>
      <c r="I33" s="256"/>
      <c r="J33" s="256"/>
    </row>
    <row r="34" spans="1:10" s="257" customFormat="1" ht="30" customHeight="1">
      <c r="A34" s="420"/>
      <c r="B34" s="423"/>
      <c r="C34" s="421" t="s">
        <v>290</v>
      </c>
      <c r="D34" s="421"/>
      <c r="E34" s="265" t="s">
        <v>254</v>
      </c>
      <c r="F34" s="265" t="s">
        <v>254</v>
      </c>
      <c r="G34" s="265" t="s">
        <v>254</v>
      </c>
      <c r="H34" s="266" t="s">
        <v>208</v>
      </c>
      <c r="I34" s="256"/>
      <c r="J34" s="256"/>
    </row>
    <row r="35" spans="1:10" s="256" customFormat="1" ht="30" customHeight="1">
      <c r="A35" s="420"/>
      <c r="B35" s="423" t="s">
        <v>291</v>
      </c>
      <c r="C35" s="417" t="s">
        <v>292</v>
      </c>
      <c r="D35" s="417"/>
      <c r="E35" s="258" t="s">
        <v>262</v>
      </c>
      <c r="F35" s="258" t="s">
        <v>262</v>
      </c>
      <c r="G35" s="258" t="s">
        <v>262</v>
      </c>
      <c r="H35" s="260" t="s">
        <v>204</v>
      </c>
    </row>
    <row r="36" spans="1:10" s="257" customFormat="1" ht="30" customHeight="1">
      <c r="A36" s="420"/>
      <c r="B36" s="423"/>
      <c r="C36" s="421" t="s">
        <v>293</v>
      </c>
      <c r="D36" s="421"/>
      <c r="E36" s="265" t="s">
        <v>254</v>
      </c>
      <c r="F36" s="265" t="s">
        <v>254</v>
      </c>
      <c r="G36" s="265" t="s">
        <v>254</v>
      </c>
      <c r="H36" s="266" t="s">
        <v>197</v>
      </c>
      <c r="I36" s="256"/>
      <c r="J36" s="256"/>
    </row>
    <row r="37" spans="1:10" s="257" customFormat="1" ht="30" customHeight="1">
      <c r="A37" s="420"/>
      <c r="B37" s="423"/>
      <c r="C37" s="421" t="s">
        <v>294</v>
      </c>
      <c r="D37" s="421"/>
      <c r="E37" s="265" t="s">
        <v>254</v>
      </c>
      <c r="F37" s="265" t="s">
        <v>254</v>
      </c>
      <c r="G37" s="265" t="s">
        <v>254</v>
      </c>
      <c r="H37" s="266" t="s">
        <v>218</v>
      </c>
      <c r="I37" s="256"/>
      <c r="J37" s="256"/>
    </row>
    <row r="38" spans="1:10" s="257" customFormat="1" ht="30" customHeight="1">
      <c r="A38" s="420"/>
      <c r="B38" s="423"/>
      <c r="C38" s="417" t="s">
        <v>295</v>
      </c>
      <c r="D38" s="417"/>
      <c r="E38" s="258" t="s">
        <v>262</v>
      </c>
      <c r="F38" s="258" t="s">
        <v>262</v>
      </c>
      <c r="G38" s="258" t="s">
        <v>262</v>
      </c>
      <c r="H38" s="260" t="s">
        <v>186</v>
      </c>
      <c r="I38" s="256"/>
      <c r="J38" s="256"/>
    </row>
    <row r="39" spans="1:10" s="257" customFormat="1" ht="30" customHeight="1">
      <c r="A39" s="420"/>
      <c r="B39" s="270" t="s">
        <v>296</v>
      </c>
      <c r="C39" s="421" t="s">
        <v>297</v>
      </c>
      <c r="D39" s="421"/>
      <c r="E39" s="265" t="s">
        <v>254</v>
      </c>
      <c r="F39" s="265" t="s">
        <v>254</v>
      </c>
      <c r="G39" s="265" t="s">
        <v>254</v>
      </c>
      <c r="H39" s="266" t="s">
        <v>197</v>
      </c>
      <c r="I39" s="256"/>
    </row>
    <row r="40" spans="1:10" s="257" customFormat="1" ht="30" customHeight="1">
      <c r="A40" s="424" t="s">
        <v>298</v>
      </c>
      <c r="B40" s="418" t="s">
        <v>299</v>
      </c>
      <c r="C40" s="414" t="s">
        <v>300</v>
      </c>
      <c r="D40" s="414"/>
      <c r="E40" s="254" t="s">
        <v>36</v>
      </c>
      <c r="F40" s="254" t="s">
        <v>254</v>
      </c>
      <c r="G40" s="254" t="s">
        <v>254</v>
      </c>
      <c r="H40" s="255"/>
      <c r="I40" s="256"/>
      <c r="J40" s="256"/>
    </row>
    <row r="41" spans="1:10" s="257" customFormat="1" ht="30" customHeight="1">
      <c r="A41" s="424"/>
      <c r="B41" s="418"/>
      <c r="C41" s="414" t="s">
        <v>301</v>
      </c>
      <c r="D41" s="414"/>
      <c r="E41" s="254" t="s">
        <v>36</v>
      </c>
      <c r="F41" s="254" t="s">
        <v>36</v>
      </c>
      <c r="G41" s="254" t="s">
        <v>36</v>
      </c>
      <c r="H41" s="255"/>
      <c r="I41" s="256"/>
      <c r="J41" s="256"/>
    </row>
    <row r="42" spans="1:10" s="257" customFormat="1" ht="30" customHeight="1">
      <c r="A42" s="424"/>
      <c r="B42" s="418"/>
      <c r="C42" s="414" t="s">
        <v>302</v>
      </c>
      <c r="D42" s="414"/>
      <c r="E42" s="254" t="s">
        <v>36</v>
      </c>
      <c r="F42" s="254" t="s">
        <v>36</v>
      </c>
      <c r="G42" s="254" t="s">
        <v>36</v>
      </c>
      <c r="H42" s="255"/>
      <c r="I42" s="256"/>
      <c r="J42" s="256"/>
    </row>
    <row r="43" spans="1:10" s="257" customFormat="1" ht="30" customHeight="1">
      <c r="A43" s="424"/>
      <c r="B43" s="418"/>
      <c r="C43" s="271" t="s">
        <v>227</v>
      </c>
      <c r="D43" s="272"/>
      <c r="E43" s="254" t="s">
        <v>36</v>
      </c>
      <c r="F43" s="254" t="s">
        <v>36</v>
      </c>
      <c r="G43" s="254" t="s">
        <v>36</v>
      </c>
      <c r="H43" s="255"/>
      <c r="I43" s="256"/>
      <c r="J43" s="256"/>
    </row>
    <row r="44" spans="1:10" s="257" customFormat="1" ht="30" customHeight="1">
      <c r="A44" s="424"/>
      <c r="B44" s="418" t="s">
        <v>303</v>
      </c>
      <c r="C44" s="414" t="s">
        <v>304</v>
      </c>
      <c r="D44" s="414"/>
      <c r="E44" s="254" t="s">
        <v>254</v>
      </c>
      <c r="F44" s="254" t="s">
        <v>254</v>
      </c>
      <c r="G44" s="254" t="s">
        <v>254</v>
      </c>
      <c r="H44" s="255"/>
      <c r="I44" s="256"/>
      <c r="J44" s="256"/>
    </row>
    <row r="45" spans="1:10" s="257" customFormat="1" ht="30" customHeight="1">
      <c r="A45" s="425"/>
      <c r="B45" s="426"/>
      <c r="C45" s="427" t="s">
        <v>305</v>
      </c>
      <c r="D45" s="427"/>
      <c r="E45" s="273" t="s">
        <v>254</v>
      </c>
      <c r="F45" s="273" t="s">
        <v>254</v>
      </c>
      <c r="G45" s="273" t="s">
        <v>254</v>
      </c>
      <c r="H45" s="274" t="s">
        <v>306</v>
      </c>
      <c r="I45" s="256"/>
      <c r="J45" s="256"/>
    </row>
    <row r="46" spans="1:10" s="257" customFormat="1" ht="30" customHeight="1">
      <c r="I46" s="256"/>
      <c r="J46" s="256"/>
    </row>
  </sheetData>
  <mergeCells count="56">
    <mergeCell ref="C36:D36"/>
    <mergeCell ref="C37:D37"/>
    <mergeCell ref="C38:D38"/>
    <mergeCell ref="A40:A45"/>
    <mergeCell ref="B40:B43"/>
    <mergeCell ref="C40:D40"/>
    <mergeCell ref="C41:D41"/>
    <mergeCell ref="C42:D42"/>
    <mergeCell ref="B44:B45"/>
    <mergeCell ref="C44:D44"/>
    <mergeCell ref="C45:D45"/>
    <mergeCell ref="A26:B27"/>
    <mergeCell ref="C26:D26"/>
    <mergeCell ref="C27:D27"/>
    <mergeCell ref="C39:D39"/>
    <mergeCell ref="A28:B29"/>
    <mergeCell ref="C28:D28"/>
    <mergeCell ref="C29:D29"/>
    <mergeCell ref="A30:A39"/>
    <mergeCell ref="B30:B34"/>
    <mergeCell ref="C30:D30"/>
    <mergeCell ref="C31:D31"/>
    <mergeCell ref="C32:D32"/>
    <mergeCell ref="C33:D33"/>
    <mergeCell ref="C34:D34"/>
    <mergeCell ref="B35:B38"/>
    <mergeCell ref="C35:D35"/>
    <mergeCell ref="B17:B18"/>
    <mergeCell ref="C17:D17"/>
    <mergeCell ref="C18:D18"/>
    <mergeCell ref="A19:A25"/>
    <mergeCell ref="B19:B22"/>
    <mergeCell ref="C19:D19"/>
    <mergeCell ref="C20:D20"/>
    <mergeCell ref="C21:D21"/>
    <mergeCell ref="C22:D22"/>
    <mergeCell ref="B23:B25"/>
    <mergeCell ref="A8:A18"/>
    <mergeCell ref="C23:D23"/>
    <mergeCell ref="C24:D24"/>
    <mergeCell ref="C25:D25"/>
    <mergeCell ref="C11:D11"/>
    <mergeCell ref="C12:D12"/>
    <mergeCell ref="B14:B16"/>
    <mergeCell ref="C14:D14"/>
    <mergeCell ref="C15:D15"/>
    <mergeCell ref="C16:D16"/>
    <mergeCell ref="B8:B13"/>
    <mergeCell ref="C8:D8"/>
    <mergeCell ref="C9:D9"/>
    <mergeCell ref="C10:D10"/>
    <mergeCell ref="A5:A7"/>
    <mergeCell ref="B5:B7"/>
    <mergeCell ref="C5:C7"/>
    <mergeCell ref="H5:H7"/>
    <mergeCell ref="C13:D13"/>
  </mergeCells>
  <phoneticPr fontId="2" type="noConversion"/>
  <printOptions horizontalCentered="1"/>
  <pageMargins left="0.39370078740157483" right="0.39370078740157483" top="0.78740157480314965" bottom="0.39370078740157483" header="0.39370078740157483" footer="0.39370078740157483"/>
  <pageSetup paperSize="9" scale="55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9CA8-BB8F-42E5-954E-0407314F248F}">
  <sheetPr>
    <pageSetUpPr fitToPage="1"/>
  </sheetPr>
  <dimension ref="A1:U46"/>
  <sheetViews>
    <sheetView showGridLines="0" view="pageBreakPreview" zoomScale="80" zoomScaleNormal="73" zoomScaleSheetLayoutView="80" workbookViewId="0">
      <pane ySplit="7" topLeftCell="A8" activePane="bottomLeft" state="frozen"/>
      <selection pane="bottomLeft" activeCell="R8" sqref="R8"/>
    </sheetView>
  </sheetViews>
  <sheetFormatPr defaultColWidth="10.23046875" defaultRowHeight="17.600000000000001"/>
  <cols>
    <col min="1" max="1" width="9.53515625" style="244" customWidth="1"/>
    <col min="2" max="2" width="15.69140625" style="244" customWidth="1"/>
    <col min="3" max="3" width="43.3828125" style="244" customWidth="1"/>
    <col min="4" max="4" width="13.3828125" style="244" customWidth="1"/>
    <col min="5" max="5" width="9.3828125" style="244" bestFit="1" customWidth="1"/>
    <col min="6" max="14" width="7.4609375" style="244" customWidth="1"/>
    <col min="15" max="15" width="29.53515625" style="244" customWidth="1"/>
    <col min="16" max="16" width="6.07421875" style="275" customWidth="1"/>
    <col min="17" max="17" width="10.23046875" style="275"/>
    <col min="18" max="16384" width="10.23046875" style="244"/>
  </cols>
  <sheetData>
    <row r="1" spans="1:21" s="240" customFormat="1" ht="50.05" customHeight="1">
      <c r="A1" s="238"/>
      <c r="B1" s="238"/>
      <c r="C1" s="238"/>
      <c r="D1" s="239"/>
      <c r="O1" s="241"/>
      <c r="P1" s="242"/>
      <c r="Q1" s="242"/>
      <c r="R1" s="242"/>
      <c r="S1" s="242"/>
      <c r="T1" s="242"/>
      <c r="U1" s="242"/>
    </row>
    <row r="2" spans="1:21" s="243" customFormat="1" ht="30" customHeight="1">
      <c r="O2" s="244"/>
      <c r="P2" s="245"/>
      <c r="Q2" s="245"/>
      <c r="R2" s="245"/>
      <c r="S2" s="245"/>
      <c r="T2" s="245"/>
      <c r="U2" s="245"/>
    </row>
    <row r="3" spans="1:21" s="26" customFormat="1" ht="30" customHeight="1">
      <c r="A3" s="151" t="s">
        <v>231</v>
      </c>
      <c r="B3" s="125"/>
      <c r="C3" s="125"/>
      <c r="D3" s="246"/>
      <c r="E3" s="246"/>
      <c r="F3" s="246"/>
      <c r="G3" s="403" t="s">
        <v>319</v>
      </c>
      <c r="H3" s="403"/>
      <c r="I3" s="402" t="s">
        <v>317</v>
      </c>
      <c r="J3" s="402"/>
      <c r="K3" s="402"/>
      <c r="L3" s="402"/>
      <c r="M3" s="402" t="s">
        <v>320</v>
      </c>
      <c r="N3" s="402"/>
      <c r="O3" s="283" t="s">
        <v>324</v>
      </c>
    </row>
    <row r="4" spans="1:21" s="241" customFormat="1" ht="10" customHeight="1">
      <c r="A4" s="247"/>
      <c r="P4" s="248"/>
      <c r="Q4" s="248"/>
    </row>
    <row r="5" spans="1:21" s="251" customFormat="1" ht="34" customHeight="1">
      <c r="A5" s="408" t="s">
        <v>77</v>
      </c>
      <c r="B5" s="410" t="s">
        <v>78</v>
      </c>
      <c r="C5" s="410" t="s">
        <v>79</v>
      </c>
      <c r="D5" s="249" t="s">
        <v>246</v>
      </c>
      <c r="E5" s="249" t="s">
        <v>307</v>
      </c>
      <c r="F5" s="249" t="s">
        <v>233</v>
      </c>
      <c r="G5" s="249" t="s">
        <v>234</v>
      </c>
      <c r="H5" s="249" t="s">
        <v>308</v>
      </c>
      <c r="I5" s="249" t="s">
        <v>236</v>
      </c>
      <c r="J5" s="249" t="s">
        <v>237</v>
      </c>
      <c r="K5" s="249" t="s">
        <v>238</v>
      </c>
      <c r="L5" s="249" t="s">
        <v>309</v>
      </c>
      <c r="M5" s="249" t="s">
        <v>240</v>
      </c>
      <c r="N5" s="249" t="s">
        <v>241</v>
      </c>
      <c r="O5" s="412" t="s">
        <v>250</v>
      </c>
      <c r="P5" s="250"/>
      <c r="Q5" s="250"/>
      <c r="R5" s="246"/>
    </row>
    <row r="6" spans="1:21" s="251" customFormat="1" ht="34" customHeight="1">
      <c r="A6" s="409"/>
      <c r="B6" s="411"/>
      <c r="C6" s="411"/>
      <c r="D6" s="252" t="s">
        <v>251</v>
      </c>
      <c r="E6" s="411">
        <v>2</v>
      </c>
      <c r="F6" s="411"/>
      <c r="G6" s="411"/>
      <c r="H6" s="411"/>
      <c r="I6" s="411"/>
      <c r="J6" s="411"/>
      <c r="K6" s="411"/>
      <c r="L6" s="411"/>
      <c r="M6" s="411"/>
      <c r="N6" s="411"/>
      <c r="O6" s="413"/>
      <c r="P6" s="250"/>
      <c r="Q6" s="250"/>
    </row>
    <row r="7" spans="1:21" s="251" customFormat="1" ht="34" customHeight="1">
      <c r="A7" s="409"/>
      <c r="B7" s="411"/>
      <c r="C7" s="411"/>
      <c r="D7" s="252" t="s">
        <v>252</v>
      </c>
      <c r="E7" s="428" t="str" cm="1">
        <f t="array" ref="E7">_xlfn.TEXTJOIN(",",TRUE,IF(근무표_점검팀!F6:F35&lt;&gt;"",DAY(근무표_점검팀!A6:A35),""))&amp;"일"</f>
        <v>일</v>
      </c>
      <c r="F7" s="428"/>
      <c r="G7" s="428"/>
      <c r="H7" s="428"/>
      <c r="I7" s="428"/>
      <c r="J7" s="428"/>
      <c r="K7" s="428"/>
      <c r="L7" s="428"/>
      <c r="M7" s="428"/>
      <c r="N7" s="428"/>
      <c r="O7" s="413"/>
      <c r="P7" s="250"/>
      <c r="Q7" s="250"/>
    </row>
    <row r="8" spans="1:21" s="257" customFormat="1" ht="34" customHeight="1">
      <c r="A8" s="420" t="s">
        <v>253</v>
      </c>
      <c r="B8" s="418" t="s">
        <v>176</v>
      </c>
      <c r="C8" s="414" t="s">
        <v>177</v>
      </c>
      <c r="D8" s="414"/>
      <c r="E8" s="254" t="s">
        <v>36</v>
      </c>
      <c r="F8" s="254" t="s">
        <v>254</v>
      </c>
      <c r="G8" s="254" t="s">
        <v>36</v>
      </c>
      <c r="H8" s="254" t="s">
        <v>254</v>
      </c>
      <c r="I8" s="254" t="s">
        <v>254</v>
      </c>
      <c r="J8" s="254" t="s">
        <v>254</v>
      </c>
      <c r="K8" s="254" t="s">
        <v>36</v>
      </c>
      <c r="L8" s="254" t="s">
        <v>254</v>
      </c>
      <c r="M8" s="254" t="s">
        <v>254</v>
      </c>
      <c r="N8" s="254" t="s">
        <v>254</v>
      </c>
      <c r="O8" s="255"/>
      <c r="P8" s="256"/>
      <c r="Q8" s="256"/>
    </row>
    <row r="9" spans="1:21" s="257" customFormat="1" ht="34" customHeight="1">
      <c r="A9" s="420"/>
      <c r="B9" s="418"/>
      <c r="C9" s="414" t="s">
        <v>178</v>
      </c>
      <c r="D9" s="414"/>
      <c r="E9" s="254" t="s">
        <v>36</v>
      </c>
      <c r="F9" s="254" t="s">
        <v>36</v>
      </c>
      <c r="G9" s="254" t="s">
        <v>36</v>
      </c>
      <c r="H9" s="254" t="s">
        <v>36</v>
      </c>
      <c r="I9" s="254" t="s">
        <v>36</v>
      </c>
      <c r="J9" s="254" t="s">
        <v>36</v>
      </c>
      <c r="K9" s="254" t="s">
        <v>36</v>
      </c>
      <c r="L9" s="254" t="s">
        <v>36</v>
      </c>
      <c r="M9" s="254" t="s">
        <v>36</v>
      </c>
      <c r="N9" s="254" t="s">
        <v>36</v>
      </c>
      <c r="O9" s="255"/>
      <c r="P9" s="256"/>
      <c r="Q9" s="256"/>
    </row>
    <row r="10" spans="1:21" s="257" customFormat="1" ht="34" customHeight="1">
      <c r="A10" s="420"/>
      <c r="B10" s="418"/>
      <c r="C10" s="414" t="s">
        <v>255</v>
      </c>
      <c r="D10" s="414"/>
      <c r="E10" s="254" t="s">
        <v>36</v>
      </c>
      <c r="F10" s="254" t="s">
        <v>36</v>
      </c>
      <c r="G10" s="254" t="s">
        <v>36</v>
      </c>
      <c r="H10" s="254" t="s">
        <v>36</v>
      </c>
      <c r="I10" s="254" t="s">
        <v>36</v>
      </c>
      <c r="J10" s="254" t="s">
        <v>36</v>
      </c>
      <c r="K10" s="254" t="s">
        <v>36</v>
      </c>
      <c r="L10" s="254" t="s">
        <v>36</v>
      </c>
      <c r="M10" s="254" t="s">
        <v>36</v>
      </c>
      <c r="N10" s="254" t="s">
        <v>36</v>
      </c>
      <c r="O10" s="255"/>
      <c r="P10" s="256"/>
      <c r="Q10" s="256"/>
    </row>
    <row r="11" spans="1:21" s="257" customFormat="1" ht="34" customHeight="1">
      <c r="A11" s="420"/>
      <c r="B11" s="418"/>
      <c r="C11" s="414" t="s">
        <v>256</v>
      </c>
      <c r="D11" s="414"/>
      <c r="E11" s="254" t="s">
        <v>36</v>
      </c>
      <c r="F11" s="254" t="s">
        <v>36</v>
      </c>
      <c r="G11" s="254" t="s">
        <v>36</v>
      </c>
      <c r="H11" s="254" t="s">
        <v>36</v>
      </c>
      <c r="I11" s="254" t="s">
        <v>36</v>
      </c>
      <c r="J11" s="254" t="s">
        <v>36</v>
      </c>
      <c r="K11" s="254" t="s">
        <v>36</v>
      </c>
      <c r="L11" s="254" t="s">
        <v>36</v>
      </c>
      <c r="M11" s="254" t="s">
        <v>36</v>
      </c>
      <c r="N11" s="254" t="s">
        <v>36</v>
      </c>
      <c r="O11" s="255"/>
      <c r="P11" s="256"/>
      <c r="Q11" s="256"/>
    </row>
    <row r="12" spans="1:21" s="257" customFormat="1" ht="34" customHeight="1">
      <c r="A12" s="420"/>
      <c r="B12" s="418"/>
      <c r="C12" s="414" t="s">
        <v>257</v>
      </c>
      <c r="D12" s="414"/>
      <c r="E12" s="254" t="s">
        <v>36</v>
      </c>
      <c r="F12" s="254" t="s">
        <v>36</v>
      </c>
      <c r="G12" s="254" t="s">
        <v>36</v>
      </c>
      <c r="H12" s="254" t="s">
        <v>36</v>
      </c>
      <c r="I12" s="254" t="s">
        <v>36</v>
      </c>
      <c r="J12" s="254" t="s">
        <v>36</v>
      </c>
      <c r="K12" s="254" t="s">
        <v>36</v>
      </c>
      <c r="L12" s="254" t="s">
        <v>36</v>
      </c>
      <c r="M12" s="254" t="s">
        <v>36</v>
      </c>
      <c r="N12" s="254" t="s">
        <v>36</v>
      </c>
      <c r="O12" s="255"/>
      <c r="P12" s="256"/>
      <c r="Q12" s="256"/>
    </row>
    <row r="13" spans="1:21" s="257" customFormat="1" ht="34" customHeight="1">
      <c r="A13" s="420"/>
      <c r="B13" s="418"/>
      <c r="C13" s="414" t="s">
        <v>258</v>
      </c>
      <c r="D13" s="414"/>
      <c r="E13" s="254" t="s">
        <v>254</v>
      </c>
      <c r="F13" s="254" t="s">
        <v>254</v>
      </c>
      <c r="G13" s="254" t="s">
        <v>254</v>
      </c>
      <c r="H13" s="254" t="s">
        <v>254</v>
      </c>
      <c r="I13" s="254" t="s">
        <v>254</v>
      </c>
      <c r="J13" s="254" t="s">
        <v>254</v>
      </c>
      <c r="K13" s="254" t="s">
        <v>254</v>
      </c>
      <c r="L13" s="254" t="s">
        <v>254</v>
      </c>
      <c r="M13" s="254" t="s">
        <v>254</v>
      </c>
      <c r="N13" s="254" t="s">
        <v>254</v>
      </c>
      <c r="O13" s="255"/>
      <c r="P13" s="256"/>
      <c r="Q13" s="256"/>
    </row>
    <row r="14" spans="1:21" s="257" customFormat="1" ht="34" customHeight="1">
      <c r="A14" s="420"/>
      <c r="B14" s="415" t="s">
        <v>259</v>
      </c>
      <c r="C14" s="414" t="s">
        <v>260</v>
      </c>
      <c r="D14" s="414"/>
      <c r="E14" s="254" t="s">
        <v>242</v>
      </c>
      <c r="F14" s="254" t="s">
        <v>242</v>
      </c>
      <c r="G14" s="254" t="s">
        <v>242</v>
      </c>
      <c r="H14" s="254" t="s">
        <v>242</v>
      </c>
      <c r="I14" s="254" t="s">
        <v>242</v>
      </c>
      <c r="J14" s="254" t="s">
        <v>242</v>
      </c>
      <c r="K14" s="254" t="s">
        <v>242</v>
      </c>
      <c r="L14" s="254" t="s">
        <v>242</v>
      </c>
      <c r="M14" s="254" t="s">
        <v>242</v>
      </c>
      <c r="N14" s="254" t="s">
        <v>242</v>
      </c>
      <c r="O14" s="255" t="s">
        <v>243</v>
      </c>
      <c r="P14" s="256"/>
      <c r="Q14" s="256"/>
    </row>
    <row r="15" spans="1:21" s="257" customFormat="1" ht="34" customHeight="1">
      <c r="A15" s="420"/>
      <c r="B15" s="416"/>
      <c r="C15" s="417" t="s">
        <v>261</v>
      </c>
      <c r="D15" s="417"/>
      <c r="E15" s="258" t="s">
        <v>242</v>
      </c>
      <c r="F15" s="259" t="s">
        <v>242</v>
      </c>
      <c r="G15" s="258" t="s">
        <v>242</v>
      </c>
      <c r="H15" s="259" t="s">
        <v>242</v>
      </c>
      <c r="I15" s="259" t="s">
        <v>242</v>
      </c>
      <c r="J15" s="259" t="s">
        <v>242</v>
      </c>
      <c r="K15" s="258" t="s">
        <v>242</v>
      </c>
      <c r="L15" s="259" t="s">
        <v>242</v>
      </c>
      <c r="M15" s="259" t="s">
        <v>242</v>
      </c>
      <c r="N15" s="259" t="s">
        <v>242</v>
      </c>
      <c r="O15" s="260" t="s">
        <v>243</v>
      </c>
      <c r="P15" s="256"/>
      <c r="Q15" s="256"/>
    </row>
    <row r="16" spans="1:21" s="257" customFormat="1" ht="34" customHeight="1">
      <c r="A16" s="420"/>
      <c r="B16" s="416"/>
      <c r="C16" s="414" t="s">
        <v>263</v>
      </c>
      <c r="D16" s="414"/>
      <c r="E16" s="254" t="s">
        <v>242</v>
      </c>
      <c r="F16" s="254" t="s">
        <v>242</v>
      </c>
      <c r="G16" s="254" t="s">
        <v>242</v>
      </c>
      <c r="H16" s="254" t="s">
        <v>242</v>
      </c>
      <c r="I16" s="254" t="s">
        <v>242</v>
      </c>
      <c r="J16" s="254" t="s">
        <v>242</v>
      </c>
      <c r="K16" s="254" t="s">
        <v>242</v>
      </c>
      <c r="L16" s="254" t="s">
        <v>242</v>
      </c>
      <c r="M16" s="254" t="s">
        <v>242</v>
      </c>
      <c r="N16" s="254" t="s">
        <v>242</v>
      </c>
      <c r="O16" s="255" t="s">
        <v>243</v>
      </c>
      <c r="P16" s="256"/>
      <c r="Q16" s="256"/>
    </row>
    <row r="17" spans="1:17" s="257" customFormat="1" ht="34" customHeight="1">
      <c r="A17" s="420"/>
      <c r="B17" s="419" t="s">
        <v>264</v>
      </c>
      <c r="C17" s="414" t="s">
        <v>189</v>
      </c>
      <c r="D17" s="414"/>
      <c r="E17" s="254" t="s">
        <v>242</v>
      </c>
      <c r="F17" s="254" t="s">
        <v>242</v>
      </c>
      <c r="G17" s="254" t="s">
        <v>242</v>
      </c>
      <c r="H17" s="254" t="s">
        <v>242</v>
      </c>
      <c r="I17" s="254" t="s">
        <v>242</v>
      </c>
      <c r="J17" s="254" t="s">
        <v>242</v>
      </c>
      <c r="K17" s="254" t="s">
        <v>242</v>
      </c>
      <c r="L17" s="254" t="s">
        <v>242</v>
      </c>
      <c r="M17" s="254" t="s">
        <v>242</v>
      </c>
      <c r="N17" s="254" t="s">
        <v>242</v>
      </c>
      <c r="O17" s="255" t="s">
        <v>243</v>
      </c>
      <c r="P17" s="256"/>
      <c r="Q17" s="256"/>
    </row>
    <row r="18" spans="1:17" s="257" customFormat="1" ht="34" customHeight="1">
      <c r="A18" s="420"/>
      <c r="B18" s="419"/>
      <c r="C18" s="414" t="s">
        <v>190</v>
      </c>
      <c r="D18" s="414"/>
      <c r="E18" s="254" t="s">
        <v>242</v>
      </c>
      <c r="F18" s="254" t="s">
        <v>242</v>
      </c>
      <c r="G18" s="254" t="s">
        <v>242</v>
      </c>
      <c r="H18" s="254" t="s">
        <v>242</v>
      </c>
      <c r="I18" s="254" t="s">
        <v>242</v>
      </c>
      <c r="J18" s="254" t="s">
        <v>242</v>
      </c>
      <c r="K18" s="254" t="s">
        <v>242</v>
      </c>
      <c r="L18" s="254" t="s">
        <v>242</v>
      </c>
      <c r="M18" s="254" t="s">
        <v>242</v>
      </c>
      <c r="N18" s="254" t="s">
        <v>242</v>
      </c>
      <c r="O18" s="255" t="s">
        <v>243</v>
      </c>
      <c r="P18" s="256"/>
      <c r="Q18" s="256"/>
    </row>
    <row r="19" spans="1:17" s="262" customFormat="1" ht="34" customHeight="1">
      <c r="A19" s="420" t="s">
        <v>265</v>
      </c>
      <c r="B19" s="418" t="s">
        <v>266</v>
      </c>
      <c r="C19" s="417" t="s">
        <v>267</v>
      </c>
      <c r="D19" s="417"/>
      <c r="E19" s="259" t="s">
        <v>262</v>
      </c>
      <c r="F19" s="259" t="s">
        <v>262</v>
      </c>
      <c r="G19" s="259" t="s">
        <v>262</v>
      </c>
      <c r="H19" s="259" t="s">
        <v>262</v>
      </c>
      <c r="I19" s="259" t="s">
        <v>262</v>
      </c>
      <c r="J19" s="259" t="s">
        <v>262</v>
      </c>
      <c r="K19" s="259" t="s">
        <v>262</v>
      </c>
      <c r="L19" s="259" t="s">
        <v>262</v>
      </c>
      <c r="M19" s="259" t="s">
        <v>262</v>
      </c>
      <c r="N19" s="259" t="s">
        <v>262</v>
      </c>
      <c r="O19" s="260" t="s">
        <v>186</v>
      </c>
      <c r="P19" s="261"/>
      <c r="Q19" s="261"/>
    </row>
    <row r="20" spans="1:17" s="262" customFormat="1" ht="34" customHeight="1">
      <c r="A20" s="420"/>
      <c r="B20" s="418"/>
      <c r="C20" s="414" t="s">
        <v>268</v>
      </c>
      <c r="D20" s="414"/>
      <c r="E20" s="254" t="s">
        <v>36</v>
      </c>
      <c r="F20" s="254" t="s">
        <v>36</v>
      </c>
      <c r="G20" s="254" t="s">
        <v>36</v>
      </c>
      <c r="H20" s="254" t="s">
        <v>36</v>
      </c>
      <c r="I20" s="254" t="s">
        <v>36</v>
      </c>
      <c r="J20" s="254" t="s">
        <v>36</v>
      </c>
      <c r="K20" s="254" t="s">
        <v>36</v>
      </c>
      <c r="L20" s="254" t="s">
        <v>36</v>
      </c>
      <c r="M20" s="254" t="s">
        <v>36</v>
      </c>
      <c r="N20" s="254" t="s">
        <v>36</v>
      </c>
      <c r="O20" s="263"/>
      <c r="P20" s="264"/>
      <c r="Q20" s="261"/>
    </row>
    <row r="21" spans="1:17" s="262" customFormat="1" ht="34" customHeight="1">
      <c r="A21" s="420"/>
      <c r="B21" s="418"/>
      <c r="C21" s="414" t="s">
        <v>269</v>
      </c>
      <c r="D21" s="414"/>
      <c r="E21" s="254" t="s">
        <v>36</v>
      </c>
      <c r="F21" s="254" t="s">
        <v>36</v>
      </c>
      <c r="G21" s="254" t="s">
        <v>36</v>
      </c>
      <c r="H21" s="254" t="s">
        <v>36</v>
      </c>
      <c r="I21" s="254" t="s">
        <v>36</v>
      </c>
      <c r="J21" s="254" t="s">
        <v>36</v>
      </c>
      <c r="K21" s="254" t="s">
        <v>36</v>
      </c>
      <c r="L21" s="254" t="s">
        <v>36</v>
      </c>
      <c r="M21" s="254" t="s">
        <v>36</v>
      </c>
      <c r="N21" s="254" t="s">
        <v>36</v>
      </c>
      <c r="O21" s="263"/>
      <c r="P21" s="261"/>
      <c r="Q21" s="261"/>
    </row>
    <row r="22" spans="1:17" s="257" customFormat="1" ht="34" customHeight="1">
      <c r="A22" s="420"/>
      <c r="B22" s="418"/>
      <c r="C22" s="414" t="s">
        <v>270</v>
      </c>
      <c r="D22" s="414"/>
      <c r="E22" s="254" t="s">
        <v>36</v>
      </c>
      <c r="F22" s="254" t="s">
        <v>36</v>
      </c>
      <c r="G22" s="254" t="s">
        <v>36</v>
      </c>
      <c r="H22" s="254" t="s">
        <v>36</v>
      </c>
      <c r="I22" s="254" t="s">
        <v>36</v>
      </c>
      <c r="J22" s="254" t="s">
        <v>36</v>
      </c>
      <c r="K22" s="254" t="s">
        <v>36</v>
      </c>
      <c r="L22" s="254" t="s">
        <v>36</v>
      </c>
      <c r="M22" s="254" t="s">
        <v>36</v>
      </c>
      <c r="N22" s="254" t="s">
        <v>36</v>
      </c>
      <c r="O22" s="255"/>
      <c r="P22" s="256"/>
      <c r="Q22" s="256"/>
    </row>
    <row r="23" spans="1:17" s="257" customFormat="1" ht="34" customHeight="1">
      <c r="A23" s="420"/>
      <c r="B23" s="418" t="s">
        <v>271</v>
      </c>
      <c r="C23" s="421" t="s">
        <v>272</v>
      </c>
      <c r="D23" s="421"/>
      <c r="E23" s="265" t="s">
        <v>254</v>
      </c>
      <c r="F23" s="276" t="s">
        <v>277</v>
      </c>
      <c r="G23" s="276" t="s">
        <v>277</v>
      </c>
      <c r="H23" s="265" t="s">
        <v>254</v>
      </c>
      <c r="I23" s="265" t="s">
        <v>254</v>
      </c>
      <c r="J23" s="276" t="s">
        <v>277</v>
      </c>
      <c r="K23" s="276" t="s">
        <v>277</v>
      </c>
      <c r="L23" s="276" t="s">
        <v>277</v>
      </c>
      <c r="M23" s="276" t="s">
        <v>277</v>
      </c>
      <c r="N23" s="276" t="s">
        <v>277</v>
      </c>
      <c r="O23" s="266" t="s">
        <v>197</v>
      </c>
      <c r="P23" s="256"/>
      <c r="Q23" s="256"/>
    </row>
    <row r="24" spans="1:17" s="257" customFormat="1" ht="34" customHeight="1">
      <c r="A24" s="420"/>
      <c r="B24" s="418"/>
      <c r="C24" s="421" t="s">
        <v>273</v>
      </c>
      <c r="D24" s="421"/>
      <c r="E24" s="265" t="s">
        <v>254</v>
      </c>
      <c r="F24" s="265" t="s">
        <v>254</v>
      </c>
      <c r="G24" s="265" t="s">
        <v>254</v>
      </c>
      <c r="H24" s="265" t="s">
        <v>254</v>
      </c>
      <c r="I24" s="265" t="s">
        <v>254</v>
      </c>
      <c r="J24" s="265" t="s">
        <v>254</v>
      </c>
      <c r="K24" s="265" t="s">
        <v>254</v>
      </c>
      <c r="L24" s="265" t="s">
        <v>254</v>
      </c>
      <c r="M24" s="265" t="s">
        <v>254</v>
      </c>
      <c r="N24" s="265" t="s">
        <v>254</v>
      </c>
      <c r="O24" s="266" t="s">
        <v>197</v>
      </c>
      <c r="P24" s="256"/>
      <c r="Q24" s="256"/>
    </row>
    <row r="25" spans="1:17" s="257" customFormat="1" ht="34" customHeight="1">
      <c r="A25" s="420"/>
      <c r="B25" s="418"/>
      <c r="C25" s="421" t="s">
        <v>274</v>
      </c>
      <c r="D25" s="421"/>
      <c r="E25" s="265" t="s">
        <v>254</v>
      </c>
      <c r="F25" s="265" t="s">
        <v>254</v>
      </c>
      <c r="G25" s="265" t="s">
        <v>254</v>
      </c>
      <c r="H25" s="265" t="s">
        <v>254</v>
      </c>
      <c r="I25" s="265" t="s">
        <v>254</v>
      </c>
      <c r="J25" s="265" t="s">
        <v>254</v>
      </c>
      <c r="K25" s="265" t="s">
        <v>254</v>
      </c>
      <c r="L25" s="265" t="s">
        <v>254</v>
      </c>
      <c r="M25" s="265" t="s">
        <v>254</v>
      </c>
      <c r="N25" s="265" t="s">
        <v>254</v>
      </c>
      <c r="O25" s="266" t="s">
        <v>197</v>
      </c>
      <c r="P25" s="256"/>
      <c r="Q25" s="256"/>
    </row>
    <row r="26" spans="1:17" s="257" customFormat="1" ht="34" customHeight="1">
      <c r="A26" s="422" t="s">
        <v>275</v>
      </c>
      <c r="B26" s="418"/>
      <c r="C26" s="417" t="s">
        <v>276</v>
      </c>
      <c r="D26" s="417"/>
      <c r="E26" s="258" t="s">
        <v>262</v>
      </c>
      <c r="F26" s="268" t="s">
        <v>277</v>
      </c>
      <c r="G26" s="258" t="s">
        <v>262</v>
      </c>
      <c r="H26" s="258" t="s">
        <v>262</v>
      </c>
      <c r="I26" s="258" t="s">
        <v>262</v>
      </c>
      <c r="J26" s="277" t="s">
        <v>262</v>
      </c>
      <c r="K26" s="267" t="s">
        <v>277</v>
      </c>
      <c r="L26" s="258" t="s">
        <v>262</v>
      </c>
      <c r="M26" s="258" t="s">
        <v>262</v>
      </c>
      <c r="N26" s="277" t="s">
        <v>262</v>
      </c>
      <c r="O26" s="260" t="s">
        <v>310</v>
      </c>
      <c r="P26" s="256"/>
      <c r="Q26" s="256" t="s">
        <v>311</v>
      </c>
    </row>
    <row r="27" spans="1:17" s="262" customFormat="1" ht="34" customHeight="1">
      <c r="A27" s="422"/>
      <c r="B27" s="418"/>
      <c r="C27" s="417" t="s">
        <v>279</v>
      </c>
      <c r="D27" s="417"/>
      <c r="E27" s="258" t="s">
        <v>262</v>
      </c>
      <c r="F27" s="268" t="s">
        <v>277</v>
      </c>
      <c r="G27" s="258" t="s">
        <v>262</v>
      </c>
      <c r="H27" s="258" t="s">
        <v>262</v>
      </c>
      <c r="I27" s="258" t="s">
        <v>262</v>
      </c>
      <c r="J27" s="277" t="s">
        <v>262</v>
      </c>
      <c r="K27" s="267" t="s">
        <v>277</v>
      </c>
      <c r="L27" s="258" t="s">
        <v>262</v>
      </c>
      <c r="M27" s="258" t="s">
        <v>262</v>
      </c>
      <c r="N27" s="277" t="s">
        <v>262</v>
      </c>
      <c r="O27" s="260" t="s">
        <v>310</v>
      </c>
      <c r="P27" s="261"/>
      <c r="Q27" s="261"/>
    </row>
    <row r="28" spans="1:17" s="257" customFormat="1" ht="34" customHeight="1">
      <c r="A28" s="422" t="s">
        <v>280</v>
      </c>
      <c r="B28" s="418"/>
      <c r="C28" s="414" t="s">
        <v>281</v>
      </c>
      <c r="D28" s="414"/>
      <c r="E28" s="278" t="s">
        <v>277</v>
      </c>
      <c r="F28" s="279" t="s">
        <v>277</v>
      </c>
      <c r="G28" s="254" t="s">
        <v>254</v>
      </c>
      <c r="H28" s="254" t="s">
        <v>254</v>
      </c>
      <c r="I28" s="278" t="s">
        <v>277</v>
      </c>
      <c r="J28" s="279" t="s">
        <v>277</v>
      </c>
      <c r="K28" s="278" t="s">
        <v>277</v>
      </c>
      <c r="L28" s="278" t="s">
        <v>277</v>
      </c>
      <c r="M28" s="278" t="s">
        <v>277</v>
      </c>
      <c r="N28" s="279" t="s">
        <v>277</v>
      </c>
      <c r="O28" s="255"/>
      <c r="P28" s="256"/>
      <c r="Q28" s="256"/>
    </row>
    <row r="29" spans="1:17" s="262" customFormat="1" ht="34" customHeight="1">
      <c r="A29" s="422"/>
      <c r="B29" s="418"/>
      <c r="C29" s="414" t="s">
        <v>282</v>
      </c>
      <c r="D29" s="414"/>
      <c r="E29" s="278" t="s">
        <v>277</v>
      </c>
      <c r="F29" s="279" t="s">
        <v>277</v>
      </c>
      <c r="G29" s="254" t="s">
        <v>254</v>
      </c>
      <c r="H29" s="254" t="s">
        <v>36</v>
      </c>
      <c r="I29" s="278" t="s">
        <v>277</v>
      </c>
      <c r="J29" s="279" t="s">
        <v>277</v>
      </c>
      <c r="K29" s="278" t="s">
        <v>277</v>
      </c>
      <c r="L29" s="278" t="s">
        <v>277</v>
      </c>
      <c r="M29" s="278" t="s">
        <v>277</v>
      </c>
      <c r="N29" s="279" t="s">
        <v>277</v>
      </c>
      <c r="O29" s="255" t="s">
        <v>312</v>
      </c>
      <c r="P29" s="261"/>
      <c r="Q29" s="261"/>
    </row>
    <row r="30" spans="1:17" s="257" customFormat="1" ht="34" customHeight="1">
      <c r="A30" s="420" t="s">
        <v>283</v>
      </c>
      <c r="B30" s="423" t="s">
        <v>284</v>
      </c>
      <c r="C30" s="421" t="s">
        <v>285</v>
      </c>
      <c r="D30" s="421"/>
      <c r="E30" s="265" t="s">
        <v>242</v>
      </c>
      <c r="F30" s="265" t="s">
        <v>242</v>
      </c>
      <c r="G30" s="265" t="s">
        <v>242</v>
      </c>
      <c r="H30" s="265" t="s">
        <v>242</v>
      </c>
      <c r="I30" s="265" t="s">
        <v>242</v>
      </c>
      <c r="J30" s="265" t="s">
        <v>242</v>
      </c>
      <c r="K30" s="265" t="s">
        <v>242</v>
      </c>
      <c r="L30" s="265" t="s">
        <v>242</v>
      </c>
      <c r="M30" s="265" t="s">
        <v>242</v>
      </c>
      <c r="N30" s="265" t="s">
        <v>242</v>
      </c>
      <c r="O30" s="266" t="s">
        <v>243</v>
      </c>
      <c r="P30" s="256"/>
      <c r="Q30" s="256"/>
    </row>
    <row r="31" spans="1:17" s="256" customFormat="1" ht="34" customHeight="1">
      <c r="A31" s="420"/>
      <c r="B31" s="423"/>
      <c r="C31" s="417" t="s">
        <v>286</v>
      </c>
      <c r="D31" s="417"/>
      <c r="E31" s="258" t="s">
        <v>242</v>
      </c>
      <c r="F31" s="258" t="s">
        <v>242</v>
      </c>
      <c r="G31" s="258" t="s">
        <v>242</v>
      </c>
      <c r="H31" s="258" t="s">
        <v>242</v>
      </c>
      <c r="I31" s="258" t="s">
        <v>242</v>
      </c>
      <c r="J31" s="258" t="s">
        <v>242</v>
      </c>
      <c r="K31" s="258" t="s">
        <v>242</v>
      </c>
      <c r="L31" s="258" t="s">
        <v>242</v>
      </c>
      <c r="M31" s="258" t="s">
        <v>242</v>
      </c>
      <c r="N31" s="258" t="s">
        <v>242</v>
      </c>
      <c r="O31" s="260" t="s">
        <v>243</v>
      </c>
    </row>
    <row r="32" spans="1:17" s="256" customFormat="1" ht="34" customHeight="1">
      <c r="A32" s="420"/>
      <c r="B32" s="423"/>
      <c r="C32" s="417" t="s">
        <v>287</v>
      </c>
      <c r="D32" s="417"/>
      <c r="E32" s="258" t="s">
        <v>242</v>
      </c>
      <c r="F32" s="258" t="s">
        <v>242</v>
      </c>
      <c r="G32" s="258" t="s">
        <v>242</v>
      </c>
      <c r="H32" s="258" t="s">
        <v>242</v>
      </c>
      <c r="I32" s="258" t="s">
        <v>242</v>
      </c>
      <c r="J32" s="258" t="s">
        <v>242</v>
      </c>
      <c r="K32" s="258" t="s">
        <v>242</v>
      </c>
      <c r="L32" s="258" t="s">
        <v>242</v>
      </c>
      <c r="M32" s="258" t="s">
        <v>242</v>
      </c>
      <c r="N32" s="258" t="s">
        <v>242</v>
      </c>
      <c r="O32" s="260" t="s">
        <v>243</v>
      </c>
    </row>
    <row r="33" spans="1:17" s="257" customFormat="1" ht="34" customHeight="1">
      <c r="A33" s="420"/>
      <c r="B33" s="423"/>
      <c r="C33" s="417" t="s">
        <v>289</v>
      </c>
      <c r="D33" s="417"/>
      <c r="E33" s="258" t="s">
        <v>242</v>
      </c>
      <c r="F33" s="258" t="s">
        <v>242</v>
      </c>
      <c r="G33" s="258" t="s">
        <v>242</v>
      </c>
      <c r="H33" s="258" t="s">
        <v>242</v>
      </c>
      <c r="I33" s="258" t="s">
        <v>242</v>
      </c>
      <c r="J33" s="258" t="s">
        <v>242</v>
      </c>
      <c r="K33" s="258" t="s">
        <v>242</v>
      </c>
      <c r="L33" s="258" t="s">
        <v>242</v>
      </c>
      <c r="M33" s="258" t="s">
        <v>242</v>
      </c>
      <c r="N33" s="258" t="s">
        <v>242</v>
      </c>
      <c r="O33" s="260" t="s">
        <v>243</v>
      </c>
      <c r="P33" s="256"/>
      <c r="Q33" s="256"/>
    </row>
    <row r="34" spans="1:17" s="257" customFormat="1" ht="34" customHeight="1">
      <c r="A34" s="420"/>
      <c r="B34" s="423"/>
      <c r="C34" s="421" t="s">
        <v>290</v>
      </c>
      <c r="D34" s="421"/>
      <c r="E34" s="265" t="s">
        <v>242</v>
      </c>
      <c r="F34" s="265" t="s">
        <v>242</v>
      </c>
      <c r="G34" s="265" t="s">
        <v>242</v>
      </c>
      <c r="H34" s="265" t="s">
        <v>242</v>
      </c>
      <c r="I34" s="265" t="s">
        <v>242</v>
      </c>
      <c r="J34" s="265" t="s">
        <v>242</v>
      </c>
      <c r="K34" s="265" t="s">
        <v>242</v>
      </c>
      <c r="L34" s="265" t="s">
        <v>242</v>
      </c>
      <c r="M34" s="265" t="s">
        <v>242</v>
      </c>
      <c r="N34" s="265" t="s">
        <v>242</v>
      </c>
      <c r="O34" s="266" t="s">
        <v>243</v>
      </c>
      <c r="P34" s="256"/>
      <c r="Q34" s="256"/>
    </row>
    <row r="35" spans="1:17" s="256" customFormat="1" ht="34" customHeight="1">
      <c r="A35" s="420"/>
      <c r="B35" s="423" t="s">
        <v>291</v>
      </c>
      <c r="C35" s="417" t="s">
        <v>292</v>
      </c>
      <c r="D35" s="417"/>
      <c r="E35" s="258" t="s">
        <v>262</v>
      </c>
      <c r="F35" s="267" t="s">
        <v>277</v>
      </c>
      <c r="G35" s="267" t="s">
        <v>277</v>
      </c>
      <c r="H35" s="258" t="s">
        <v>262</v>
      </c>
      <c r="I35" s="258" t="s">
        <v>262</v>
      </c>
      <c r="J35" s="267" t="s">
        <v>277</v>
      </c>
      <c r="K35" s="267" t="s">
        <v>277</v>
      </c>
      <c r="L35" s="267" t="s">
        <v>277</v>
      </c>
      <c r="M35" s="267" t="s">
        <v>277</v>
      </c>
      <c r="N35" s="258" t="s">
        <v>313</v>
      </c>
      <c r="O35" s="260" t="s">
        <v>204</v>
      </c>
    </row>
    <row r="36" spans="1:17" s="257" customFormat="1" ht="34" customHeight="1">
      <c r="A36" s="420"/>
      <c r="B36" s="423"/>
      <c r="C36" s="421" t="s">
        <v>293</v>
      </c>
      <c r="D36" s="421"/>
      <c r="E36" s="265" t="s">
        <v>254</v>
      </c>
      <c r="F36" s="276" t="s">
        <v>277</v>
      </c>
      <c r="G36" s="276" t="s">
        <v>277</v>
      </c>
      <c r="H36" s="265" t="s">
        <v>254</v>
      </c>
      <c r="I36" s="265" t="s">
        <v>254</v>
      </c>
      <c r="J36" s="276" t="s">
        <v>277</v>
      </c>
      <c r="K36" s="276" t="s">
        <v>277</v>
      </c>
      <c r="L36" s="276" t="s">
        <v>277</v>
      </c>
      <c r="M36" s="276" t="s">
        <v>277</v>
      </c>
      <c r="N36" s="276" t="s">
        <v>277</v>
      </c>
      <c r="O36" s="266" t="s">
        <v>197</v>
      </c>
      <c r="P36" s="256"/>
      <c r="Q36" s="256"/>
    </row>
    <row r="37" spans="1:17" s="257" customFormat="1" ht="34" customHeight="1">
      <c r="A37" s="420"/>
      <c r="B37" s="423"/>
      <c r="C37" s="421" t="s">
        <v>294</v>
      </c>
      <c r="D37" s="421"/>
      <c r="E37" s="265" t="s">
        <v>254</v>
      </c>
      <c r="F37" s="276" t="s">
        <v>277</v>
      </c>
      <c r="G37" s="276" t="s">
        <v>277</v>
      </c>
      <c r="H37" s="265" t="s">
        <v>254</v>
      </c>
      <c r="I37" s="265" t="s">
        <v>254</v>
      </c>
      <c r="J37" s="276" t="s">
        <v>277</v>
      </c>
      <c r="K37" s="276" t="s">
        <v>277</v>
      </c>
      <c r="L37" s="276" t="s">
        <v>277</v>
      </c>
      <c r="M37" s="276" t="s">
        <v>277</v>
      </c>
      <c r="N37" s="276" t="s">
        <v>277</v>
      </c>
      <c r="O37" s="266" t="s">
        <v>218</v>
      </c>
      <c r="P37" s="256"/>
      <c r="Q37" s="256"/>
    </row>
    <row r="38" spans="1:17" s="257" customFormat="1" ht="34" customHeight="1">
      <c r="A38" s="420"/>
      <c r="B38" s="423"/>
      <c r="C38" s="417" t="s">
        <v>295</v>
      </c>
      <c r="D38" s="417"/>
      <c r="E38" s="258" t="s">
        <v>262</v>
      </c>
      <c r="F38" s="267" t="s">
        <v>277</v>
      </c>
      <c r="G38" s="267" t="s">
        <v>277</v>
      </c>
      <c r="H38" s="258" t="s">
        <v>262</v>
      </c>
      <c r="I38" s="258" t="s">
        <v>262</v>
      </c>
      <c r="J38" s="267" t="s">
        <v>277</v>
      </c>
      <c r="K38" s="267" t="s">
        <v>277</v>
      </c>
      <c r="L38" s="267" t="s">
        <v>277</v>
      </c>
      <c r="M38" s="267" t="s">
        <v>277</v>
      </c>
      <c r="N38" s="267" t="s">
        <v>277</v>
      </c>
      <c r="O38" s="260" t="s">
        <v>186</v>
      </c>
      <c r="P38" s="256"/>
      <c r="Q38" s="256"/>
    </row>
    <row r="39" spans="1:17" s="257" customFormat="1" ht="34" customHeight="1">
      <c r="A39" s="420"/>
      <c r="B39" s="270" t="s">
        <v>296</v>
      </c>
      <c r="C39" s="421" t="s">
        <v>297</v>
      </c>
      <c r="D39" s="421"/>
      <c r="E39" s="265" t="s">
        <v>254</v>
      </c>
      <c r="F39" s="276" t="s">
        <v>277</v>
      </c>
      <c r="G39" s="276" t="s">
        <v>277</v>
      </c>
      <c r="H39" s="265" t="s">
        <v>254</v>
      </c>
      <c r="I39" s="265" t="s">
        <v>254</v>
      </c>
      <c r="J39" s="276" t="s">
        <v>277</v>
      </c>
      <c r="K39" s="276" t="s">
        <v>277</v>
      </c>
      <c r="L39" s="276" t="s">
        <v>277</v>
      </c>
      <c r="M39" s="276" t="s">
        <v>277</v>
      </c>
      <c r="N39" s="276" t="s">
        <v>277</v>
      </c>
      <c r="O39" s="266" t="s">
        <v>197</v>
      </c>
      <c r="P39" s="256"/>
    </row>
    <row r="40" spans="1:17" s="257" customFormat="1" ht="34" customHeight="1">
      <c r="A40" s="424" t="s">
        <v>298</v>
      </c>
      <c r="B40" s="418" t="s">
        <v>299</v>
      </c>
      <c r="C40" s="414" t="s">
        <v>300</v>
      </c>
      <c r="D40" s="414"/>
      <c r="E40" s="254" t="s">
        <v>242</v>
      </c>
      <c r="F40" s="254" t="s">
        <v>242</v>
      </c>
      <c r="G40" s="254" t="s">
        <v>242</v>
      </c>
      <c r="H40" s="254" t="s">
        <v>242</v>
      </c>
      <c r="I40" s="254" t="s">
        <v>242</v>
      </c>
      <c r="J40" s="254" t="s">
        <v>242</v>
      </c>
      <c r="K40" s="254" t="s">
        <v>242</v>
      </c>
      <c r="L40" s="254" t="s">
        <v>242</v>
      </c>
      <c r="M40" s="254" t="s">
        <v>242</v>
      </c>
      <c r="N40" s="254" t="s">
        <v>242</v>
      </c>
      <c r="O40" s="255" t="s">
        <v>243</v>
      </c>
      <c r="P40" s="256"/>
      <c r="Q40" s="256"/>
    </row>
    <row r="41" spans="1:17" s="257" customFormat="1" ht="34" customHeight="1">
      <c r="A41" s="424"/>
      <c r="B41" s="418"/>
      <c r="C41" s="414" t="s">
        <v>301</v>
      </c>
      <c r="D41" s="414"/>
      <c r="E41" s="254" t="s">
        <v>242</v>
      </c>
      <c r="F41" s="254" t="s">
        <v>242</v>
      </c>
      <c r="G41" s="254" t="s">
        <v>242</v>
      </c>
      <c r="H41" s="254" t="s">
        <v>242</v>
      </c>
      <c r="I41" s="254" t="s">
        <v>242</v>
      </c>
      <c r="J41" s="254" t="s">
        <v>242</v>
      </c>
      <c r="K41" s="254" t="s">
        <v>242</v>
      </c>
      <c r="L41" s="254" t="s">
        <v>242</v>
      </c>
      <c r="M41" s="254" t="s">
        <v>242</v>
      </c>
      <c r="N41" s="254" t="s">
        <v>242</v>
      </c>
      <c r="O41" s="255" t="s">
        <v>243</v>
      </c>
      <c r="P41" s="256"/>
      <c r="Q41" s="256"/>
    </row>
    <row r="42" spans="1:17" s="257" customFormat="1" ht="34" customHeight="1">
      <c r="A42" s="424"/>
      <c r="B42" s="418"/>
      <c r="C42" s="414" t="s">
        <v>302</v>
      </c>
      <c r="D42" s="414"/>
      <c r="E42" s="254" t="s">
        <v>242</v>
      </c>
      <c r="F42" s="254" t="s">
        <v>242</v>
      </c>
      <c r="G42" s="254" t="s">
        <v>242</v>
      </c>
      <c r="H42" s="254" t="s">
        <v>242</v>
      </c>
      <c r="I42" s="254" t="s">
        <v>242</v>
      </c>
      <c r="J42" s="254" t="s">
        <v>242</v>
      </c>
      <c r="K42" s="254" t="s">
        <v>242</v>
      </c>
      <c r="L42" s="254" t="s">
        <v>242</v>
      </c>
      <c r="M42" s="254" t="s">
        <v>242</v>
      </c>
      <c r="N42" s="254" t="s">
        <v>242</v>
      </c>
      <c r="O42" s="255" t="s">
        <v>243</v>
      </c>
      <c r="P42" s="256"/>
      <c r="Q42" s="256"/>
    </row>
    <row r="43" spans="1:17" s="257" customFormat="1" ht="34" customHeight="1">
      <c r="A43" s="424"/>
      <c r="B43" s="418"/>
      <c r="C43" s="271" t="s">
        <v>227</v>
      </c>
      <c r="D43" s="272"/>
      <c r="E43" s="254" t="s">
        <v>242</v>
      </c>
      <c r="F43" s="254" t="s">
        <v>242</v>
      </c>
      <c r="G43" s="254" t="s">
        <v>242</v>
      </c>
      <c r="H43" s="254" t="s">
        <v>242</v>
      </c>
      <c r="I43" s="254" t="s">
        <v>242</v>
      </c>
      <c r="J43" s="254" t="s">
        <v>242</v>
      </c>
      <c r="K43" s="254" t="s">
        <v>242</v>
      </c>
      <c r="L43" s="254" t="s">
        <v>242</v>
      </c>
      <c r="M43" s="254" t="s">
        <v>242</v>
      </c>
      <c r="N43" s="254" t="s">
        <v>242</v>
      </c>
      <c r="O43" s="255" t="s">
        <v>243</v>
      </c>
      <c r="P43" s="256"/>
      <c r="Q43" s="256"/>
    </row>
    <row r="44" spans="1:17" s="257" customFormat="1" ht="34" customHeight="1">
      <c r="A44" s="424"/>
      <c r="B44" s="418" t="s">
        <v>303</v>
      </c>
      <c r="C44" s="414" t="s">
        <v>304</v>
      </c>
      <c r="D44" s="414"/>
      <c r="E44" s="254" t="s">
        <v>242</v>
      </c>
      <c r="F44" s="254" t="s">
        <v>242</v>
      </c>
      <c r="G44" s="254" t="s">
        <v>242</v>
      </c>
      <c r="H44" s="254" t="s">
        <v>242</v>
      </c>
      <c r="I44" s="254" t="s">
        <v>242</v>
      </c>
      <c r="J44" s="254" t="s">
        <v>242</v>
      </c>
      <c r="K44" s="254" t="s">
        <v>242</v>
      </c>
      <c r="L44" s="254" t="s">
        <v>242</v>
      </c>
      <c r="M44" s="254" t="s">
        <v>242</v>
      </c>
      <c r="N44" s="254" t="s">
        <v>242</v>
      </c>
      <c r="O44" s="255" t="s">
        <v>243</v>
      </c>
      <c r="P44" s="256"/>
      <c r="Q44" s="256"/>
    </row>
    <row r="45" spans="1:17" s="257" customFormat="1" ht="34" customHeight="1">
      <c r="A45" s="425"/>
      <c r="B45" s="426"/>
      <c r="C45" s="427" t="s">
        <v>305</v>
      </c>
      <c r="D45" s="427"/>
      <c r="E45" s="273" t="s">
        <v>254</v>
      </c>
      <c r="F45" s="273" t="s">
        <v>254</v>
      </c>
      <c r="G45" s="273" t="s">
        <v>254</v>
      </c>
      <c r="H45" s="273" t="s">
        <v>254</v>
      </c>
      <c r="I45" s="273" t="s">
        <v>254</v>
      </c>
      <c r="J45" s="273" t="s">
        <v>254</v>
      </c>
      <c r="K45" s="273" t="s">
        <v>254</v>
      </c>
      <c r="L45" s="273" t="s">
        <v>254</v>
      </c>
      <c r="M45" s="273" t="s">
        <v>254</v>
      </c>
      <c r="N45" s="273" t="s">
        <v>254</v>
      </c>
      <c r="O45" s="274" t="s">
        <v>314</v>
      </c>
      <c r="P45" s="256"/>
      <c r="Q45" s="256"/>
    </row>
    <row r="46" spans="1:17" s="257" customFormat="1" ht="30" customHeight="1">
      <c r="P46" s="256"/>
      <c r="Q46" s="256"/>
    </row>
  </sheetData>
  <mergeCells count="61">
    <mergeCell ref="A40:A45"/>
    <mergeCell ref="B40:B43"/>
    <mergeCell ref="C40:D40"/>
    <mergeCell ref="C41:D41"/>
    <mergeCell ref="C42:D42"/>
    <mergeCell ref="B44:B45"/>
    <mergeCell ref="C44:D44"/>
    <mergeCell ref="C45:D45"/>
    <mergeCell ref="C39:D39"/>
    <mergeCell ref="A28:B29"/>
    <mergeCell ref="C28:D28"/>
    <mergeCell ref="C29:D29"/>
    <mergeCell ref="A30:A39"/>
    <mergeCell ref="B30:B34"/>
    <mergeCell ref="C30:D30"/>
    <mergeCell ref="C31:D31"/>
    <mergeCell ref="C32:D32"/>
    <mergeCell ref="C33:D33"/>
    <mergeCell ref="C34:D34"/>
    <mergeCell ref="B35:B38"/>
    <mergeCell ref="C35:D35"/>
    <mergeCell ref="C36:D36"/>
    <mergeCell ref="C37:D37"/>
    <mergeCell ref="C38:D38"/>
    <mergeCell ref="C22:D22"/>
    <mergeCell ref="B23:B25"/>
    <mergeCell ref="C23:D23"/>
    <mergeCell ref="C24:D24"/>
    <mergeCell ref="C25:D25"/>
    <mergeCell ref="A26:B27"/>
    <mergeCell ref="C26:D26"/>
    <mergeCell ref="C27:D27"/>
    <mergeCell ref="C15:D15"/>
    <mergeCell ref="C16:D16"/>
    <mergeCell ref="B17:B18"/>
    <mergeCell ref="C17:D17"/>
    <mergeCell ref="C18:D18"/>
    <mergeCell ref="A19:A25"/>
    <mergeCell ref="B19:B22"/>
    <mergeCell ref="C19:D19"/>
    <mergeCell ref="C20:D20"/>
    <mergeCell ref="C21:D21"/>
    <mergeCell ref="A8:A18"/>
    <mergeCell ref="B8:B13"/>
    <mergeCell ref="C8:D8"/>
    <mergeCell ref="C9:D9"/>
    <mergeCell ref="C10:D10"/>
    <mergeCell ref="B14:B16"/>
    <mergeCell ref="C14:D14"/>
    <mergeCell ref="A5:A7"/>
    <mergeCell ref="B5:B7"/>
    <mergeCell ref="C5:C7"/>
    <mergeCell ref="C11:D11"/>
    <mergeCell ref="C12:D12"/>
    <mergeCell ref="C13:D13"/>
    <mergeCell ref="G3:H3"/>
    <mergeCell ref="I3:L3"/>
    <mergeCell ref="M3:N3"/>
    <mergeCell ref="O5:O7"/>
    <mergeCell ref="E6:N6"/>
    <mergeCell ref="E7:N7"/>
  </mergeCells>
  <phoneticPr fontId="2" type="noConversion"/>
  <printOptions horizontalCentered="1"/>
  <pageMargins left="0.39370078740157483" right="0.39370078740157483" top="0.78740157480314965" bottom="0.39370078740157483" header="0.39370078740157483" footer="0.39370078740157483"/>
  <pageSetup paperSize="9" scale="5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11</vt:i4>
      </vt:variant>
    </vt:vector>
  </HeadingPairs>
  <TitlesOfParts>
    <vt:vector size="22" baseType="lpstr">
      <vt:lpstr>표지</vt:lpstr>
      <vt:lpstr>목차</vt:lpstr>
      <vt:lpstr>근무표_안전관리자</vt:lpstr>
      <vt:lpstr>근무표_점검팀</vt:lpstr>
      <vt:lpstr>일상점검_안전관리자</vt:lpstr>
      <vt:lpstr>정기점검1_안전관리자</vt:lpstr>
      <vt:lpstr>정기점검2_안전관리자</vt:lpstr>
      <vt:lpstr>정기점검1_점검팀</vt:lpstr>
      <vt:lpstr>정기점검2_점검팀</vt:lpstr>
      <vt:lpstr>정기점검1_점검팀_분기</vt:lpstr>
      <vt:lpstr>정기점검2_점검팀_분기</vt:lpstr>
      <vt:lpstr>근무표_안전관리자!Print_Area</vt:lpstr>
      <vt:lpstr>근무표_점검팀!Print_Area</vt:lpstr>
      <vt:lpstr>목차!Print_Area</vt:lpstr>
      <vt:lpstr>일상점검_안전관리자!Print_Area</vt:lpstr>
      <vt:lpstr>정기점검1_안전관리자!Print_Area</vt:lpstr>
      <vt:lpstr>정기점검1_점검팀!Print_Area</vt:lpstr>
      <vt:lpstr>정기점검1_점검팀_분기!Print_Area</vt:lpstr>
      <vt:lpstr>정기점검2_안전관리자!Print_Area</vt:lpstr>
      <vt:lpstr>정기점검2_점검팀!Print_Area</vt:lpstr>
      <vt:lpstr>정기점검2_점검팀_분기!Print_Area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점검계획표</dc:title>
  <dc:subject>곰티터널관리소</dc:subject>
  <dc:creator>송성호</dc:creator>
  <cp:lastModifiedBy>신종섭</cp:lastModifiedBy>
  <cp:revision>3</cp:revision>
  <cp:lastPrinted>2026-03-30T04:02:37Z</cp:lastPrinted>
  <dcterms:created xsi:type="dcterms:W3CDTF">2007-01-21T08:24:17Z</dcterms:created>
  <dcterms:modified xsi:type="dcterms:W3CDTF">2026-03-30T04:02:52Z</dcterms:modified>
  <cp:version>1100.0100.01</cp:version>
</cp:coreProperties>
</file>